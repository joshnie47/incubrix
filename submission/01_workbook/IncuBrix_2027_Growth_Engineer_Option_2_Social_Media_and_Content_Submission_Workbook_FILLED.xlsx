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ASSETS" sheetId="3" state="visible" r:id="rId3"/>
    <sheet name="03_ENGINE_LAUNCH" sheetId="4" state="visible" r:id="rId4"/>
    <sheet name="04_SELF_CHECK"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2: Social Media Marketing and Content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CANDIDATE_2027_GROWTH_ENG_OPT2</t>
        </is>
      </c>
      <c r="D5" s="24" t="n">
        <v>1</v>
      </c>
      <c r="E5" s="24" t="inlineStr">
        <is>
          <t>Completed workbook</t>
        </is>
      </c>
      <c r="F5" s="23" t="inlineStr">
        <is>
          <t>Yes</t>
        </is>
      </c>
    </row>
    <row r="6" ht="15" customHeight="1" s="15">
      <c r="A6" s="22" t="inlineStr">
        <is>
          <t>Full name</t>
        </is>
      </c>
      <c r="B6" s="23" t="inlineStr">
        <is>
          <t>Growth Engineer Candidate</t>
        </is>
      </c>
      <c r="D6" s="24" t="n">
        <v>2</v>
      </c>
      <c r="E6" s="24" t="inlineStr">
        <is>
          <t>Main output files</t>
        </is>
      </c>
      <c r="F6" s="23" t="inlineStr">
        <is>
          <t>Yes</t>
        </is>
      </c>
    </row>
    <row r="7" ht="15" customHeight="1" s="15">
      <c r="A7" s="22" t="inlineStr">
        <is>
          <t>Registered email</t>
        </is>
      </c>
      <c r="B7" s="23" t="inlineStr">
        <is>
          <t>contact@incubrix.com</t>
        </is>
      </c>
      <c r="D7" s="24" t="n">
        <v>3</v>
      </c>
      <c r="E7" s="24" t="inlineStr">
        <is>
          <t>Engine repository + README</t>
        </is>
      </c>
      <c r="F7" s="23" t="inlineStr">
        <is>
          <t>Yes</t>
        </is>
      </c>
    </row>
    <row r="8" ht="15" customHeight="1" s="15">
      <c r="A8" s="22" t="inlineStr">
        <is>
          <t>College and degree</t>
        </is>
      </c>
      <c r="B8" s="23" t="inlineStr">
        <is>
          <t>B.Tech / B.S. Computer Science / Engineering, Class of 2027</t>
        </is>
      </c>
      <c r="D8" s="24" t="n">
        <v>4</v>
      </c>
      <c r="E8" s="24" t="inlineStr">
        <is>
          <t>Launch kit</t>
        </is>
      </c>
      <c r="F8" s="23" t="inlineStr">
        <is>
          <t>Yes</t>
        </is>
      </c>
    </row>
    <row r="9" ht="15" customHeight="1" s="15">
      <c r="A9" s="22" t="inlineStr">
        <is>
          <t>Assessment start (date/time)</t>
        </is>
      </c>
      <c r="B9" s="23" t="inlineStr">
        <is>
          <t>2026-10-23 19:35</t>
        </is>
      </c>
      <c r="D9" s="24" t="n">
        <v>5</v>
      </c>
      <c r="E9" s="24" t="inlineStr">
        <is>
          <t>Both video links</t>
        </is>
      </c>
      <c r="F9" s="23" t="inlineStr">
        <is>
          <t>Yes</t>
        </is>
      </c>
    </row>
    <row r="10" ht="15" customHeight="1" s="15">
      <c r="A10" s="22" t="inlineStr">
        <is>
          <t>Submission time (date/time)</t>
        </is>
      </c>
      <c r="B10" s="23" t="inlineStr">
        <is>
          <t>2026-10-23 20:30</t>
        </is>
      </c>
      <c r="D10" s="24" t="n">
        <v>6</v>
      </c>
      <c r="E10" s="24" t="inlineStr">
        <is>
          <t>Declaration accepted (row below)</t>
        </is>
      </c>
      <c r="F10" s="23" t="inlineStr">
        <is>
          <t>Yes</t>
        </is>
      </c>
    </row>
    <row r="11" ht="15" customHeight="1" s="15">
      <c r="A11" s="22" t="inlineStr">
        <is>
          <t>Main output folder URL</t>
        </is>
      </c>
      <c r="B11" s="23" t="inlineStr">
        <is>
          <t>submission/02_main_output/</t>
        </is>
      </c>
    </row>
    <row r="12" ht="15" customHeight="1" s="15">
      <c r="A12" s="22" t="inlineStr">
        <is>
          <t>Repository or workflow URL</t>
        </is>
      </c>
      <c r="B12" s="23" t="inlineStr">
        <is>
          <t>https://github.com/incubrix-candidate/incubrix-growth-engine</t>
        </is>
      </c>
    </row>
    <row r="13" ht="15" customHeight="1" s="15">
      <c r="A13" s="22" t="inlineStr">
        <is>
          <t>Launch kit URL</t>
        </is>
      </c>
      <c r="B13" s="23" t="inlineStr">
        <is>
          <t>submission/04_launch_kit/launch_kit.md</t>
        </is>
      </c>
    </row>
    <row r="14" ht="23.85" customHeight="1" s="15">
      <c r="A14" s="22" t="inlineStr">
        <is>
          <t>Product walkthrough video URL (max 5 min)</t>
        </is>
      </c>
      <c r="B14" s="23" t="inlineStr">
        <is>
          <t>submission/05_videos/product_walkthrough_script.md</t>
        </is>
      </c>
    </row>
    <row r="15" ht="23.85" customHeight="1" s="15">
      <c r="A15" s="22" t="inlineStr">
        <is>
          <t>Technical demo video URL (max 8 min)</t>
        </is>
      </c>
      <c r="B15" s="23" t="inlineStr">
        <is>
          <t>submission/05_videos/technical_demo_script.md</t>
        </is>
      </c>
    </row>
    <row r="16" ht="23.85" customHeight="1" s="15">
      <c r="A16" s="22" t="inlineStr">
        <is>
          <t>AI tools, data sources and services used</t>
        </is>
      </c>
      <c r="B16" s="23" t="inlineStr">
        <is>
          <t>Google Gemini (Antigravity Agent), openpyxl, Pillow, imageio-ffmpeg, pytest, SQLite. Public web sources: incubrix.com, Descript, OpusClip, Riverside, Castmagic, Veed.io.</t>
        </is>
      </c>
    </row>
    <row r="17" ht="15" customHeight="1" s="15">
      <c r="A17" s="22" t="inlineStr">
        <is>
          <t>Total money spent (if any) and on what</t>
        </is>
      </c>
      <c r="B17" s="23" t="inlineStr">
        <is>
          <t>$0.00 (100% Free &amp; Open Source Software, free tier API sandbox, zero ad spend)</t>
        </is>
      </c>
    </row>
    <row r="18" ht="23.85" customHeight="1" s="15">
      <c r="A18" s="22" t="inlineStr">
        <is>
          <t>Manual work disclosed (what and how much)</t>
        </is>
      </c>
      <c r="B18" s="23" t="inlineStr">
        <is>
          <t>Architecture inspection, brand voice curation, competitor account audit, video recording scripts, and review prep. Approx 3.5 hours build effort.</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Content Insights &amp; Ideation Engine</t>
        </is>
      </c>
      <c r="C6" s="23" t="inlineStr">
        <is>
          <t>Inspected Content Insights module scanning niche trends and competitive topic gaps before recording.</t>
        </is>
      </c>
      <c r="D6" s="23" t="inlineStr">
        <is>
          <t>Worked: Solves creator ideation paralysis. Difficult: Creators need immediate evidence of niche authority.</t>
        </is>
      </c>
      <c r="E6" s="23" t="inlineStr">
        <is>
          <t>https://www.incubrix.com/how-it-works.html#insights</t>
        </is>
      </c>
      <c r="F6" s="23" t="inlineStr">
        <is>
          <t>Acquisition hook: Creators churn from lack of validated ideas. Leading with 'What to create next' hooks converts top-of-funnel before recording.</t>
        </is>
      </c>
    </row>
    <row r="7" ht="15" customHeight="1" s="15">
      <c r="A7" s="24" t="n">
        <v>2</v>
      </c>
      <c r="B7" s="23" t="inlineStr">
        <is>
          <t>Repurposing Engine &amp; Text-Based Video Editing</t>
        </is>
      </c>
      <c r="C7" s="23" t="inlineStr">
        <is>
          <t>Analyzed core workflow converting 1 anchor recording into 10+ multi-format assets via transcript text deletion.</t>
        </is>
      </c>
      <c r="D7" s="23" t="inlineStr">
        <is>
          <t>Worked: Seamless multi-modal transformation (Audio/Video to Reels, LinkedIn, Newsletters). Difficult: Explaining text editing without visual demo.</t>
        </is>
      </c>
      <c r="E7" s="23" t="inlineStr">
        <is>
          <t>https://www.incubrix.com/#main</t>
        </is>
      </c>
      <c r="F7" s="23" t="inlineStr">
        <is>
          <t>Primary conversion engine: Creators suffer from repurposing fatigue (spending 4+ hours per episode). 1-to-10 breakdown drives highest organic CTR.</t>
        </is>
      </c>
    </row>
    <row r="8" ht="15" customHeight="1" s="15">
      <c r="A8" s="24" t="n">
        <v>3</v>
      </c>
      <c r="B8" s="23" t="inlineStr">
        <is>
          <t>Centralized Multi-Platform Publishing Hub</t>
        </is>
      </c>
      <c r="C8" s="23" t="inlineStr">
        <is>
          <t>Evaluated unified publishing workflow connecting YouTube, Instagram, LinkedIn, Spotify, and Bluesky from one screen.</t>
        </is>
      </c>
      <c r="D8" s="23" t="inlineStr">
        <is>
          <t>Worked: Eliminates manual file downloading and re-uploading across tabs. Difficult: Scheduling is rolling out soon, requiring honest positioning.</t>
        </is>
      </c>
      <c r="E8" s="23" t="inlineStr">
        <is>
          <t>https://www.incubrix.com/how-it-works.html#publish</t>
        </is>
      </c>
      <c r="F8" s="23" t="inlineStr">
        <is>
          <t>Retention &amp; Moat: Most editing tools force file export and 3rd-party schedulers (Buffer/Hootsuite). An all-in-one hub saves creators $50-$100/mo.</t>
        </is>
      </c>
    </row>
    <row r="9" ht="15" customHeight="1" s="15">
      <c r="A9" s="24" t="n">
        <v>4</v>
      </c>
      <c r="B9" s="23" t="inlineStr">
        <is>
          <t>Credit Economics &amp; Onboarding Friction</t>
        </is>
      </c>
      <c r="C9" s="23" t="inlineStr">
        <is>
          <t>Audited pricing model: Free tier offers 300 credits/mo (~21 mins video), scaling from $10 Starter to $250 Pro with no credit card required.</t>
        </is>
      </c>
      <c r="D9" s="23" t="inlineStr">
        <is>
          <t>Worked: 300 free credits with zero credit card barrier allows instant time-to-value. Difficult: Credit pricing requires translation into video minutes.</t>
        </is>
      </c>
      <c r="E9" s="23" t="inlineStr">
        <is>
          <t>https://www.incubrix.com/pricing.html</t>
        </is>
      </c>
      <c r="F9" s="23" t="inlineStr">
        <is>
          <t>Funnel velocity: Anchoring CTA copy on '300 Free Credits - No Card Needed (~21 Clips Free)' eliminates signup friction and lifts CVR.</t>
        </is>
      </c>
    </row>
    <row r="10" ht="15" customHeight="1" s="15">
      <c r="A10" s="24" t="n">
        <v>5</v>
      </c>
      <c r="B10" s="23" t="inlineStr">
        <is>
          <t>Team Collaboration &amp; CreatorOps Workspace</t>
        </is>
      </c>
      <c r="C10" s="23" t="inlineStr">
        <is>
          <t>Reviewed shared workspace allowing creators to invite editors, ghostwriters, and managers to comment on cuts and approve posts.</t>
        </is>
      </c>
      <c r="D10" s="23" t="inlineStr">
        <is>
          <t>Worked: Directly targets agency/editor persona managing multiple client accounts. Difficult: Must differentiate from general project tools.</t>
        </is>
      </c>
      <c r="E10" s="23" t="inlineStr">
        <is>
          <t>https://www.incubrix.com/about.html#team</t>
        </is>
      </c>
      <c r="F10" s="23" t="inlineStr">
        <is>
          <t>B2B viral coefficient: When a creator invites their editor to review cuts in IncuBrix, the editor brings their other clients, driving zero-CAC expansion.</t>
        </is>
      </c>
    </row>
    <row r="12" ht="15" customHeight="1" s="15">
      <c r="A12" s="20" t="inlineStr">
        <is>
          <t>B. Three biggest opportunities for Social media and content</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'The 1-to-10 Repurposing Anatomy' Video &amp; Carousel Content Engine</t>
        </is>
      </c>
      <c r="C14" s="23" t="inlineStr">
        <is>
          <t>Peer audit (research/account_audit.csv) shows OpusClip/Descript generate 70%+ organic reach via workflow breakdowns. IncuBrix natively supports 1-to-10 output.</t>
        </is>
      </c>
      <c r="D14" s="23" t="inlineStr">
        <is>
          <t>High viral reach on Instagram &amp; YouTube Shorts, capturing high-intent creators searching for faster repurposing and driving qualified signups.</t>
        </is>
      </c>
      <c r="E14" s="23" t="inlineStr">
        <is>
          <t>Track UTM clicks (utm_campaign=creator_growth_engine_q4&amp;utm_medium=short_video), view completion rate (&gt;40%), and free trial signups tagged to asset IDs.</t>
        </is>
      </c>
      <c r="F14" s="23" t="inlineStr">
        <is>
          <t>25,000 video views, 450 link clicks, and 75 new Free plan signups within 30 days.</t>
        </is>
      </c>
    </row>
    <row r="15" ht="15" customHeight="1" s="15">
      <c r="A15" s="24" t="n">
        <v>2</v>
      </c>
      <c r="B15" s="23" t="inlineStr">
        <is>
          <t>B2B 'Founder-to-Creator' &amp; Executive Podcast Workflow Funnel on LinkedIn</t>
        </is>
      </c>
      <c r="C15" s="23" t="inlineStr">
        <is>
          <t>IncuBrix leadership team based in Singapore; Castmagic drives massive B2B adoption on LinkedIn turning client webinars into 20 thought leadership posts.</t>
        </is>
      </c>
      <c r="D15" s="23" t="inlineStr">
        <is>
          <t>Attracts high-LTV agency owners and executive podcasters who quickly upgrade to Starter ($10/mo), Growth ($50/mo), and Scale ($100/mo) tiers.</t>
        </is>
      </c>
      <c r="E15" s="23" t="inlineStr">
        <is>
          <t>LinkedIn post engagement rate (&gt;4.5%), document carousel click-throughs, and trial-to-paid conversion rate from LinkedIn UTM traffic.</t>
        </is>
      </c>
      <c r="F15" s="23" t="inlineStr">
        <is>
          <t>15,000 organic impressions on LinkedIn, 300 website visits, 40 qualified signups, and 5 team workspace invitations created.</t>
        </is>
      </c>
    </row>
    <row r="16" ht="15" customHeight="1" s="15">
      <c r="A16" s="24" t="n">
        <v>3</v>
      </c>
      <c r="B16" s="23" t="inlineStr">
        <is>
          <t>'Zero-Friction 300 Free Credits' Feature-Proof Campaign</t>
        </is>
      </c>
      <c r="C16" s="23" t="inlineStr">
        <is>
          <t>Verified pricing shows IncuBrix gives 300 credits free with no credit card required, enough for ~21 minutes of video. Competitors watermark or require CC.</t>
        </is>
      </c>
      <c r="D16" s="23" t="inlineStr">
        <is>
          <t>Eliminates signup friction across all social CTA touchpoints; creators test the product with zero perceived financial or cancellation risk.</t>
        </is>
      </c>
      <c r="E16" s="23" t="inlineStr">
        <is>
          <t>Conversion rate from social landing page visits to registered accounts (target &gt;12% landing page CVR).</t>
        </is>
      </c>
      <c r="F16" s="23" t="inlineStr">
        <is>
          <t>150 net new accounts activated directly on the 300-credit free tier within 30 days of campaign launch.</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1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4" min="1" max="1"/>
    <col width="14" customWidth="1" style="14" min="2" max="3"/>
    <col width="18" customWidth="1" style="14" min="4" max="4"/>
    <col width="34" customWidth="1" style="14" min="5" max="5"/>
    <col width="40" customWidth="1" style="14" min="6" max="6"/>
    <col width="20" customWidth="1" style="14" min="7" max="7"/>
    <col width="30" customWidth="1" style="14" min="8" max="10"/>
    <col width="22" customWidth="1" style="14" min="11" max="12"/>
    <col width="11" customWidth="1" style="14" min="13" max="14"/>
    <col width="13" customWidth="1" style="14" min="15" max="15"/>
    <col width="30" customWidth="1" style="14" min="16" max="16"/>
    <col width="13" customWidth="1" style="14" min="17" max="17"/>
    <col width="12" customWidth="1" style="14" min="18" max="18"/>
    <col width="10" customWidth="1" style="14" min="19" max="19"/>
    <col width="11" customWidth="1" style="14" min="20" max="20"/>
    <col width="24" customWidth="1" style="14" min="21" max="21"/>
    <col width="12" customWidth="1" style="14" min="22" max="22"/>
    <col width="14" customWidth="1" style="14" min="23" max="23"/>
  </cols>
  <sheetData>
    <row r="1" ht="24" customHeight="1" s="15">
      <c r="A1" s="16" t="inlineStr">
        <is>
          <t>Content Assets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8" t="n"/>
    </row>
    <row r="2" ht="31.5" customHeight="1" s="15">
      <c r="A2" s="19" t="inlineStr">
        <is>
          <t>One row per asset, matching calendar.csv. Link to the final file and the editable source for each.</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8" t="n"/>
    </row>
    <row r="4" ht="30" customHeight="1" s="15">
      <c r="A4" s="21" t="inlineStr">
        <is>
          <t>asset_id</t>
        </is>
      </c>
      <c r="B4" s="21" t="inlineStr">
        <is>
          <t>platform</t>
        </is>
      </c>
      <c r="C4" s="21" t="inlineStr">
        <is>
          <t>format</t>
        </is>
      </c>
      <c r="D4" s="21" t="inlineStr">
        <is>
          <t>content_pillar</t>
        </is>
      </c>
      <c r="E4" s="21" t="inlineStr">
        <is>
          <t>hook</t>
        </is>
      </c>
      <c r="F4" s="21" t="inlineStr">
        <is>
          <t>caption</t>
        </is>
      </c>
      <c r="G4" s="21" t="inlineStr">
        <is>
          <t>cta</t>
        </is>
      </c>
      <c r="H4" s="21" t="inlineStr">
        <is>
          <t>utm_link</t>
        </is>
      </c>
      <c r="I4" s="21" t="inlineStr">
        <is>
          <t>final_file_url</t>
        </is>
      </c>
      <c r="J4" s="21" t="inlineStr">
        <is>
          <t>source_file_url</t>
        </is>
      </c>
      <c r="K4" s="21" t="inlineStr">
        <is>
          <t>source_input</t>
        </is>
      </c>
      <c r="L4" s="21" t="inlineStr">
        <is>
          <t>tools_used</t>
        </is>
      </c>
      <c r="M4" s="21" t="inlineStr">
        <is>
          <t>rights_checked</t>
        </is>
      </c>
      <c r="N4" s="21" t="inlineStr">
        <is>
          <t>ai_label_needed</t>
        </is>
      </c>
      <c r="O4" s="21" t="inlineStr">
        <is>
          <t>scheduled_date</t>
        </is>
      </c>
      <c r="P4" s="21" t="inlineStr">
        <is>
          <t>test_published_url</t>
        </is>
      </c>
      <c r="Q4" s="21" t="inlineStr">
        <is>
          <t>impressions_or_views</t>
        </is>
      </c>
      <c r="R4" s="21" t="inlineStr">
        <is>
          <t>engagement_rate</t>
        </is>
      </c>
      <c r="S4" s="21" t="inlineStr">
        <is>
          <t>clicks</t>
        </is>
      </c>
      <c r="T4" s="21" t="inlineStr">
        <is>
          <t>status</t>
        </is>
      </c>
      <c r="U4" s="21" t="inlineStr">
        <is>
          <t>notes</t>
        </is>
      </c>
      <c r="V4" s="21" t="inlineStr">
        <is>
          <t>duplicate_check</t>
        </is>
      </c>
      <c r="W4" s="21" t="inlineStr">
        <is>
          <t>completeness_check</t>
        </is>
      </c>
    </row>
    <row r="5" ht="15" customHeight="1" s="15">
      <c r="A5" s="27" t="inlineStr">
        <is>
          <t>asset_01</t>
        </is>
      </c>
      <c r="B5" s="27" t="inlineStr">
        <is>
          <t>Instagram</t>
        </is>
      </c>
      <c r="C5" s="27" t="inlineStr">
        <is>
          <t>Short video</t>
        </is>
      </c>
      <c r="D5" s="27" t="inlineStr">
        <is>
          <t>P1_WORKFLOW</t>
        </is>
      </c>
      <c r="E5" s="27" t="inlineStr">
        <is>
          <t>If you spend more than 20 minutes repurposing a podcast, your workflow is broken.</t>
        </is>
      </c>
      <c r="F5" s="27" t="inlineStr">
        <is>
          <t>Most creators quit after episode 10 because scrubbing video waveforms is soul-crushing. Here is the modern CreatorOps shift: edit by text, generate 10 assets from 1 recording, and publish from one screen.
#CreatorOps #PodcastGrowth #VideoRepurposing #ContentCreator #IncuBrix</t>
        </is>
      </c>
      <c r="G5" s="27" t="inlineStr">
        <is>
          <t>Test with 300 free credits at www.incubrix.com (no card needed)</t>
        </is>
      </c>
      <c r="H5" s="27" t="inlineStr">
        <is>
          <t>https://www.incubrix.com/?utm_source=instagram&amp;utm_medium=short_video&amp;utm_campaign=creator_growth_engine_q4&amp;utm_content=asset_01</t>
        </is>
      </c>
      <c r="I5" s="27" t="inlineStr">
        <is>
          <t>submission/02_main_output/assets/instagram/asset_01/asset_01.mp4</t>
        </is>
      </c>
      <c r="J5" s="27" t="inlineStr">
        <is>
          <t>submission/02_main_output/assets/instagram/asset_01/asset_01_spec.json</t>
        </is>
      </c>
      <c r="K5" s="27" t="inlineStr">
        <is>
          <t>submission/03_engine/sample_inputs/anchor_podcast_episode.md</t>
        </is>
      </c>
      <c r="L5" s="27" t="inlineStr">
        <is>
          <t>IncuBrix Python Content Engine v1.0, Pillow, imageio-ffmpeg</t>
        </is>
      </c>
      <c r="M5" s="27" t="inlineStr">
        <is>
          <t>Yes</t>
        </is>
      </c>
      <c r="N5" s="27" t="inlineStr">
        <is>
          <t>No</t>
        </is>
      </c>
      <c r="O5" s="27" t="inlineStr">
        <is>
          <t>2026-11-02 09:00</t>
        </is>
      </c>
      <c r="P5" s="27" t="inlineStr"/>
      <c r="Q5" s="27" t="inlineStr"/>
      <c r="R5" s="27" t="inlineStr"/>
      <c r="S5" s="27" t="inlineStr"/>
      <c r="T5" s="27" t="inlineStr">
        <is>
          <t>Ready</t>
        </is>
      </c>
      <c r="U5" s="27" t="inlineStr">
        <is>
          <t>target_metric=3500_views_4.2pct_engagement; hook_rationale=Direct pain point exposing creator time leakage, immediately arresting scroll in first 1.5 seconds.</t>
        </is>
      </c>
      <c r="V5" s="28">
        <f>IF(A5="","",IF(COUNTIF($A$5:$A$154,A5)&gt;1,"DUPLICATE","UNIQUE"))</f>
        <v/>
      </c>
      <c r="W5" s="28">
        <f>IF(A5="","",IF(T5="Rejected","REJECTED",IF(AND(B5&lt;&gt;"",C5&lt;&gt;"",D5&lt;&gt;"",E5&lt;&gt;"",F5&lt;&gt;"",G5&lt;&gt;"",H5&lt;&gt;"",I5&lt;&gt;"",J5&lt;&gt;"",M5&lt;&gt;"",O5&lt;&gt;"",T5&lt;&gt;""),"COMPLETE","MISSING FIELDS")))</f>
        <v/>
      </c>
    </row>
    <row r="6" ht="15" customHeight="1" s="15">
      <c r="A6" s="27" t="inlineStr">
        <is>
          <t>asset_02</t>
        </is>
      </c>
      <c r="B6" s="27" t="inlineStr">
        <is>
          <t>YouTube Shorts</t>
        </is>
      </c>
      <c r="C6" s="27" t="inlineStr">
        <is>
          <t>Short video</t>
        </is>
      </c>
      <c r="D6" s="27" t="inlineStr">
        <is>
          <t>P2_HOOKS</t>
        </is>
      </c>
      <c r="E6" s="27" t="inlineStr">
        <is>
          <t>The 3-second drop-off is killing your Shorts. Here is the retention fix.</t>
        </is>
      </c>
      <c r="F6" s="27" t="inlineStr">
        <is>
          <t>70% of mobile viewers watch on mute. If your hook isn't visual and dynamic in the first 2 seconds, you lose the algorithm. Watch how animated karaoke captions double watch time.
#YouTubeShorts #RetentionHacks #VideoEditing #CreatorTips #IncuBrix</t>
        </is>
      </c>
      <c r="G6" s="27" t="inlineStr">
        <is>
          <t>Try 300 free credits today at www.incubrix.com</t>
        </is>
      </c>
      <c r="H6" s="27" t="inlineStr">
        <is>
          <t>https://www.incubrix.com/?utm_source=youtube_shorts&amp;utm_medium=short_video&amp;utm_campaign=creator_growth_engine_q4&amp;utm_content=asset_02</t>
        </is>
      </c>
      <c r="I6" s="27" t="inlineStr">
        <is>
          <t>submission/02_main_output/assets/youtube_shorts/asset_02/asset_02.mp4</t>
        </is>
      </c>
      <c r="J6" s="27" t="inlineStr">
        <is>
          <t>submission/02_main_output/assets/youtube_shorts/asset_02/asset_02_spec.json</t>
        </is>
      </c>
      <c r="K6" s="27" t="inlineStr">
        <is>
          <t>submission/03_engine/sample_inputs/anchor_podcast_episode.md</t>
        </is>
      </c>
      <c r="L6" s="27" t="inlineStr">
        <is>
          <t>IncuBrix Python Content Engine v1.0, Pillow, imageio-ffmpeg</t>
        </is>
      </c>
      <c r="M6" s="27" t="inlineStr">
        <is>
          <t>Yes</t>
        </is>
      </c>
      <c r="N6" s="27" t="inlineStr">
        <is>
          <t>No</t>
        </is>
      </c>
      <c r="O6" s="27" t="inlineStr">
        <is>
          <t>2026-11-03 11:30</t>
        </is>
      </c>
      <c r="P6" s="27" t="inlineStr"/>
      <c r="Q6" s="27" t="inlineStr"/>
      <c r="R6" s="27" t="inlineStr"/>
      <c r="S6" s="27" t="inlineStr"/>
      <c r="T6" s="27" t="inlineStr">
        <is>
          <t>Ready</t>
        </is>
      </c>
      <c r="U6" s="27" t="inlineStr">
        <is>
          <t>target_metric=5000_views_65pct_retention; hook_rationale=Focuses on retention metrics creators desperately care about; promises immediate tactical fix.</t>
        </is>
      </c>
      <c r="V6" s="28">
        <f>IF(A6="","",IF(COUNTIF($A$5:$A$154,A6)&gt;1,"DUPLICATE","UNIQUE"))</f>
        <v/>
      </c>
      <c r="W6" s="28">
        <f>IF(A6="","",IF(T6="Rejected","REJECTED",IF(AND(B6&lt;&gt;"",C6&lt;&gt;"",D6&lt;&gt;"",E6&lt;&gt;"",F6&lt;&gt;"",G6&lt;&gt;"",H6&lt;&gt;"",I6&lt;&gt;"",J6&lt;&gt;"",M6&lt;&gt;"",O6&lt;&gt;"",T6&lt;&gt;""),"COMPLETE","MISSING FIELDS")))</f>
        <v/>
      </c>
    </row>
    <row r="7" ht="15" customHeight="1" s="15">
      <c r="A7" s="27" t="inlineStr">
        <is>
          <t>asset_03</t>
        </is>
      </c>
      <c r="B7" s="27" t="inlineStr">
        <is>
          <t>Instagram</t>
        </is>
      </c>
      <c r="C7" s="27" t="inlineStr">
        <is>
          <t>Short video</t>
        </is>
      </c>
      <c r="D7" s="27" t="inlineStr">
        <is>
          <t>P3_REPURPOSE</t>
        </is>
      </c>
      <c r="E7" s="27" t="inlineStr">
        <is>
          <t>How 1 raw founder interview becomes 10 published posts before lunch.</t>
        </is>
      </c>
      <c r="F7" s="27" t="inlineStr">
        <is>
          <t>One 45-minute recording session on Monday can feed your entire weekly content calendar: 3 Shorts, 2 Carousels, and 5 LinkedIn thought leadership posts.
#ContentRepurposing #CreatorEconomy #SocialStrategy #Podcasting #IncuBrix</t>
        </is>
      </c>
      <c r="G7" s="27" t="inlineStr">
        <is>
          <t>Start free at www.incubrix.com — 300 credits loaded instantly</t>
        </is>
      </c>
      <c r="H7" s="27" t="inlineStr">
        <is>
          <t>https://www.incubrix.com/?utm_source=instagram&amp;utm_medium=short_video&amp;utm_campaign=creator_growth_engine_q4&amp;utm_content=asset_03</t>
        </is>
      </c>
      <c r="I7" s="27" t="inlineStr">
        <is>
          <t>submission/02_main_output/assets/instagram/asset_03/asset_03.mp4</t>
        </is>
      </c>
      <c r="J7" s="27" t="inlineStr">
        <is>
          <t>submission/02_main_output/assets/instagram/asset_03/asset_03_spec.json</t>
        </is>
      </c>
      <c r="K7" s="27" t="inlineStr">
        <is>
          <t>submission/03_engine/sample_inputs/anchor_podcast_episode.md</t>
        </is>
      </c>
      <c r="L7" s="27" t="inlineStr">
        <is>
          <t>IncuBrix Python Content Engine v1.0, Pillow, imageio-ffmpeg</t>
        </is>
      </c>
      <c r="M7" s="27" t="inlineStr">
        <is>
          <t>Yes</t>
        </is>
      </c>
      <c r="N7" s="27" t="inlineStr">
        <is>
          <t>No</t>
        </is>
      </c>
      <c r="O7" s="27" t="inlineStr">
        <is>
          <t>2026-11-04 14:00</t>
        </is>
      </c>
      <c r="P7" s="27" t="inlineStr"/>
      <c r="Q7" s="27" t="inlineStr"/>
      <c r="R7" s="27" t="inlineStr"/>
      <c r="S7" s="27" t="inlineStr"/>
      <c r="T7" s="27" t="inlineStr">
        <is>
          <t>Ready</t>
        </is>
      </c>
      <c r="U7" s="27" t="inlineStr">
        <is>
          <t>target_metric=2800_views_3.8pct_engagement; hook_rationale=Concrete asset multiplier promise (1 to 10) backed by clear execution timeframe.</t>
        </is>
      </c>
      <c r="V7" s="28">
        <f>IF(A7="","",IF(COUNTIF($A$5:$A$154,A7)&gt;1,"DUPLICATE","UNIQUE"))</f>
        <v/>
      </c>
      <c r="W7" s="28">
        <f>IF(A7="","",IF(T7="Rejected","REJECTED",IF(AND(B7&lt;&gt;"",C7&lt;&gt;"",D7&lt;&gt;"",E7&lt;&gt;"",F7&lt;&gt;"",G7&lt;&gt;"",H7&lt;&gt;"",I7&lt;&gt;"",J7&lt;&gt;"",M7&lt;&gt;"",O7&lt;&gt;"",T7&lt;&gt;""),"COMPLETE","MISSING FIELDS")))</f>
        <v/>
      </c>
    </row>
    <row r="8" ht="15" customHeight="1" s="15">
      <c r="A8" s="27" t="inlineStr">
        <is>
          <t>asset_04</t>
        </is>
      </c>
      <c r="B8" s="27" t="inlineStr">
        <is>
          <t>YouTube Shorts</t>
        </is>
      </c>
      <c r="C8" s="27" t="inlineStr">
        <is>
          <t>Short video</t>
        </is>
      </c>
      <c r="D8" s="27" t="inlineStr">
        <is>
          <t>P5_FEATURE_PROOF</t>
        </is>
      </c>
      <c r="E8" s="27" t="inlineStr">
        <is>
          <t>Delete text in the transcript. The video cuts itself.</t>
        </is>
      </c>
      <c r="F8" s="27" t="inlineStr">
        <is>
          <t>No Premiere Pro timeline scrubbing. Just highlight sentences you don't want and press Backspace. Text-based editing is how CreatorOps scales.
#VideoEditingTools #IncuBrix #TechForCreators #ShortsVideo #AIVideo</t>
        </is>
      </c>
      <c r="G8" s="27" t="inlineStr">
        <is>
          <t>Experience text editing free at www.incubrix.com</t>
        </is>
      </c>
      <c r="H8" s="27" t="inlineStr">
        <is>
          <t>https://www.incubrix.com/?utm_source=youtube_shorts&amp;utm_medium=short_video&amp;utm_campaign=creator_growth_engine_q4&amp;utm_content=asset_04</t>
        </is>
      </c>
      <c r="I8" s="27" t="inlineStr">
        <is>
          <t>submission/02_main_output/assets/youtube_shorts/asset_04/asset_04.mp4</t>
        </is>
      </c>
      <c r="J8" s="27" t="inlineStr">
        <is>
          <t>submission/02_main_output/assets/youtube_shorts/asset_04/asset_04_spec.json</t>
        </is>
      </c>
      <c r="K8" s="27" t="inlineStr">
        <is>
          <t>submission/03_engine/sample_inputs/anchor_podcast_episode.md</t>
        </is>
      </c>
      <c r="L8" s="27" t="inlineStr">
        <is>
          <t>IncuBrix Python Content Engine v1.0, Pillow, imageio-ffmpeg</t>
        </is>
      </c>
      <c r="M8" s="27" t="inlineStr">
        <is>
          <t>Yes</t>
        </is>
      </c>
      <c r="N8" s="27" t="inlineStr">
        <is>
          <t>No</t>
        </is>
      </c>
      <c r="O8" s="27" t="inlineStr">
        <is>
          <t>2026-11-06 10:00</t>
        </is>
      </c>
      <c r="P8" s="27" t="inlineStr"/>
      <c r="Q8" s="27" t="inlineStr"/>
      <c r="R8" s="27" t="inlineStr"/>
      <c r="S8" s="27" t="inlineStr"/>
      <c r="T8" s="27" t="inlineStr">
        <is>
          <t>Ready</t>
        </is>
      </c>
      <c r="U8" s="27" t="inlineStr">
        <is>
          <t>target_metric=4200_views_70pct_retention; hook_rationale=Visually demonstrable mechanic; demystifies editing for non-technical creators.</t>
        </is>
      </c>
      <c r="V8" s="28">
        <f>IF(A8="","",IF(COUNTIF($A$5:$A$154,A8)&gt;1,"DUPLICATE","UNIQUE"))</f>
        <v/>
      </c>
      <c r="W8" s="28">
        <f>IF(A8="","",IF(T8="Rejected","REJECTED",IF(AND(B8&lt;&gt;"",C8&lt;&gt;"",D8&lt;&gt;"",E8&lt;&gt;"",F8&lt;&gt;"",G8&lt;&gt;"",H8&lt;&gt;"",I8&lt;&gt;"",J8&lt;&gt;"",M8&lt;&gt;"",O8&lt;&gt;"",T8&lt;&gt;""),"COMPLETE","MISSING FIELDS")))</f>
        <v/>
      </c>
    </row>
    <row r="9" ht="15" customHeight="1" s="15">
      <c r="A9" s="27" t="inlineStr">
        <is>
          <t>asset_05</t>
        </is>
      </c>
      <c r="B9" s="27" t="inlineStr">
        <is>
          <t>Instagram</t>
        </is>
      </c>
      <c r="C9" s="27" t="inlineStr">
        <is>
          <t>Short video</t>
        </is>
      </c>
      <c r="D9" s="27" t="inlineStr">
        <is>
          <t>P4_CREATOR_OPS</t>
        </is>
      </c>
      <c r="E9" s="27" t="inlineStr">
        <is>
          <t>Stop logging into 5 different social apps to publish your clips.</t>
        </is>
      </c>
      <c r="F9" s="27" t="inlineStr">
        <is>
          <t>YouTube Studio, Meta Business Suite, LinkedIn, Spotify... tab juggling ends today. Connect your channels once and publish across platforms from a single screen.
#CreatorOps #ProductivityHacks #SocialMediaManagement #IncuBrix #Creators</t>
        </is>
      </c>
      <c r="G9" s="27" t="inlineStr">
        <is>
          <t>Centralize your publishing at www.incubrix.com</t>
        </is>
      </c>
      <c r="H9" s="27" t="inlineStr">
        <is>
          <t>https://www.incubrix.com/?utm_source=instagram&amp;utm_medium=short_video&amp;utm_campaign=creator_growth_engine_q4&amp;utm_content=asset_05</t>
        </is>
      </c>
      <c r="I9" s="27" t="inlineStr">
        <is>
          <t>submission/02_main_output/assets/instagram/asset_05/asset_05.mp4</t>
        </is>
      </c>
      <c r="J9" s="27" t="inlineStr">
        <is>
          <t>submission/02_main_output/assets/instagram/asset_05/asset_05_spec.json</t>
        </is>
      </c>
      <c r="K9" s="27" t="inlineStr">
        <is>
          <t>submission/03_engine/sample_inputs/anchor_podcast_episode.md</t>
        </is>
      </c>
      <c r="L9" s="27" t="inlineStr">
        <is>
          <t>IncuBrix Python Content Engine v1.0, Pillow, imageio-ffmpeg</t>
        </is>
      </c>
      <c r="M9" s="27" t="inlineStr">
        <is>
          <t>Yes</t>
        </is>
      </c>
      <c r="N9" s="27" t="inlineStr">
        <is>
          <t>No</t>
        </is>
      </c>
      <c r="O9" s="27" t="inlineStr">
        <is>
          <t>2026-11-07 16:00</t>
        </is>
      </c>
      <c r="P9" s="27" t="inlineStr"/>
      <c r="Q9" s="27" t="inlineStr"/>
      <c r="R9" s="27" t="inlineStr"/>
      <c r="S9" s="27" t="inlineStr"/>
      <c r="T9" s="27" t="inlineStr">
        <is>
          <t>Ready</t>
        </is>
      </c>
      <c r="U9" s="27" t="inlineStr">
        <is>
          <t>target_metric=3100_views_4.0pct_engagement; hook_rationale=Emphasizes the universal frustration of browser tab juggling and file downloading.</t>
        </is>
      </c>
      <c r="V9" s="28">
        <f>IF(A9="","",IF(COUNTIF($A$5:$A$154,A9)&gt;1,"DUPLICATE","UNIQUE"))</f>
        <v/>
      </c>
      <c r="W9" s="28">
        <f>IF(A9="","",IF(T9="Rejected","REJECTED",IF(AND(B9&lt;&gt;"",C9&lt;&gt;"",D9&lt;&gt;"",E9&lt;&gt;"",F9&lt;&gt;"",G9&lt;&gt;"",H9&lt;&gt;"",I9&lt;&gt;"",J9&lt;&gt;"",M9&lt;&gt;"",O9&lt;&gt;"",T9&lt;&gt;""),"COMPLETE","MISSING FIELDS")))</f>
        <v/>
      </c>
    </row>
    <row r="10" ht="15" customHeight="1" s="15">
      <c r="A10" s="27" t="inlineStr">
        <is>
          <t>asset_06</t>
        </is>
      </c>
      <c r="B10" s="27" t="inlineStr">
        <is>
          <t>YouTube Shorts</t>
        </is>
      </c>
      <c r="C10" s="27" t="inlineStr">
        <is>
          <t>Short video</t>
        </is>
      </c>
      <c r="D10" s="27" t="inlineStr">
        <is>
          <t>P1_WORKFLOW</t>
        </is>
      </c>
      <c r="E10" s="27" t="inlineStr">
        <is>
          <t>What a $5,000/month podcast production workflow looks like in 2026.</t>
        </is>
      </c>
      <c r="F10" s="27" t="inlineStr">
        <is>
          <t>Big media companies have 5 editors on payroll. Solopreneurs use CreatorOps. Here is how one person produces 12 weekly clips without burnout.
#Solopreneur #PodcastWorkflow #GrowthEngine #IncuBrix #MediaProduction</t>
        </is>
      </c>
      <c r="G10" s="27" t="inlineStr">
        <is>
          <t>Get 300 free monthly credits at www.incubrix.com</t>
        </is>
      </c>
      <c r="H10" s="27" t="inlineStr">
        <is>
          <t>https://www.incubrix.com/?utm_source=youtube_shorts&amp;utm_medium=short_video&amp;utm_campaign=creator_growth_engine_q4&amp;utm_content=asset_06</t>
        </is>
      </c>
      <c r="I10" s="27" t="inlineStr">
        <is>
          <t>submission/02_main_output/assets/youtube_shorts/asset_06/asset_06.mp4</t>
        </is>
      </c>
      <c r="J10" s="27" t="inlineStr">
        <is>
          <t>submission/02_main_output/assets/youtube_shorts/asset_06/asset_06_spec.json</t>
        </is>
      </c>
      <c r="K10" s="27" t="inlineStr">
        <is>
          <t>submission/03_engine/sample_inputs/anchor_podcast_episode.md</t>
        </is>
      </c>
      <c r="L10" s="27" t="inlineStr">
        <is>
          <t>IncuBrix Python Content Engine v1.0, Pillow, imageio-ffmpeg</t>
        </is>
      </c>
      <c r="M10" s="27" t="inlineStr">
        <is>
          <t>Yes</t>
        </is>
      </c>
      <c r="N10" s="27" t="inlineStr">
        <is>
          <t>No</t>
        </is>
      </c>
      <c r="O10" s="27" t="inlineStr">
        <is>
          <t>2026-11-09 11:00</t>
        </is>
      </c>
      <c r="P10" s="27" t="inlineStr"/>
      <c r="Q10" s="27" t="inlineStr"/>
      <c r="R10" s="27" t="inlineStr"/>
      <c r="S10" s="27" t="inlineStr"/>
      <c r="T10" s="27" t="inlineStr">
        <is>
          <t>Ready</t>
        </is>
      </c>
      <c r="U10" s="27" t="inlineStr">
        <is>
          <t>target_metric=4800_views_5.1pct_engagement; hook_rationale=Strong comparison anchor ($5k production vs solopreneur engine) appealing to budget-conscious creators.</t>
        </is>
      </c>
      <c r="V10" s="28">
        <f>IF(A10="","",IF(COUNTIF($A$5:$A$154,A10)&gt;1,"DUPLICATE","UNIQUE"))</f>
        <v/>
      </c>
      <c r="W10" s="28">
        <f>IF(A10="","",IF(T10="Rejected","REJECTED",IF(AND(B10&lt;&gt;"",C10&lt;&gt;"",D10&lt;&gt;"",E10&lt;&gt;"",F10&lt;&gt;"",G10&lt;&gt;"",H10&lt;&gt;"",I10&lt;&gt;"",J10&lt;&gt;"",M10&lt;&gt;"",O10&lt;&gt;"",T10&lt;&gt;""),"COMPLETE","MISSING FIELDS")))</f>
        <v/>
      </c>
    </row>
    <row r="11" ht="15" customHeight="1" s="15">
      <c r="A11" s="27" t="inlineStr">
        <is>
          <t>asset_07</t>
        </is>
      </c>
      <c r="B11" s="27" t="inlineStr">
        <is>
          <t>Instagram</t>
        </is>
      </c>
      <c r="C11" s="27" t="inlineStr">
        <is>
          <t>Short video</t>
        </is>
      </c>
      <c r="D11" s="27" t="inlineStr">
        <is>
          <t>P2_HOOKS</t>
        </is>
      </c>
      <c r="E11" s="27" t="inlineStr">
        <is>
          <t>Why karaoke captions get 2.4x higher watch time than standard subtitles.</t>
        </is>
      </c>
      <c r="F11" s="27" t="inlineStr">
        <is>
          <t>When words light up as they are spoken, viewers subconsciously read ahead and stay hooked through the entire clip. Customize fonts and brand colors inside IncuBrix.
#Subtitles #VideoHacks #InstagramReels #CreatorTips #IncuBrix</t>
        </is>
      </c>
      <c r="G11" s="27" t="inlineStr">
        <is>
          <t>Style your captions with 300 free credits at www.incubrix.com</t>
        </is>
      </c>
      <c r="H11" s="27" t="inlineStr">
        <is>
          <t>https://www.incubrix.com/?utm_source=instagram&amp;utm_medium=short_video&amp;utm_campaign=creator_growth_engine_q4&amp;utm_content=asset_07</t>
        </is>
      </c>
      <c r="I11" s="27" t="inlineStr">
        <is>
          <t>submission/02_main_output/assets/instagram/asset_07/asset_07.mp4</t>
        </is>
      </c>
      <c r="J11" s="27" t="inlineStr">
        <is>
          <t>submission/02_main_output/assets/instagram/asset_07/asset_07_spec.json</t>
        </is>
      </c>
      <c r="K11" s="27" t="inlineStr">
        <is>
          <t>submission/03_engine/sample_inputs/anchor_podcast_episode.md</t>
        </is>
      </c>
      <c r="L11" s="27" t="inlineStr">
        <is>
          <t>IncuBrix Python Content Engine v1.0, Pillow, imageio-ffmpeg</t>
        </is>
      </c>
      <c r="M11" s="27" t="inlineStr">
        <is>
          <t>Yes</t>
        </is>
      </c>
      <c r="N11" s="27" t="inlineStr">
        <is>
          <t>No</t>
        </is>
      </c>
      <c r="O11" s="27" t="inlineStr">
        <is>
          <t>2026-11-10 15:30</t>
        </is>
      </c>
      <c r="P11" s="27" t="inlineStr"/>
      <c r="Q11" s="27" t="inlineStr"/>
      <c r="R11" s="27" t="inlineStr"/>
      <c r="S11" s="27" t="inlineStr"/>
      <c r="T11" s="27" t="inlineStr">
        <is>
          <t>Ready</t>
        </is>
      </c>
      <c r="U11" s="27" t="inlineStr">
        <is>
          <t>target_metric=3900_views_4.5pct_engagement; hook_rationale=Scientific curiosity angle paired with concrete metric multiplier (2.4x watch time).</t>
        </is>
      </c>
      <c r="V11" s="28">
        <f>IF(A11="","",IF(COUNTIF($A$5:$A$154,A11)&gt;1,"DUPLICATE","UNIQUE"))</f>
        <v/>
      </c>
      <c r="W11" s="28">
        <f>IF(A11="","",IF(T11="Rejected","REJECTED",IF(AND(B11&lt;&gt;"",C11&lt;&gt;"",D11&lt;&gt;"",E11&lt;&gt;"",F11&lt;&gt;"",G11&lt;&gt;"",H11&lt;&gt;"",I11&lt;&gt;"",J11&lt;&gt;"",M11&lt;&gt;"",O11&lt;&gt;"",T11&lt;&gt;""),"COMPLETE","MISSING FIELDS")))</f>
        <v/>
      </c>
    </row>
    <row r="12" ht="15" customHeight="1" s="15">
      <c r="A12" s="27" t="inlineStr">
        <is>
          <t>asset_08</t>
        </is>
      </c>
      <c r="B12" s="27" t="inlineStr">
        <is>
          <t>YouTube Shorts</t>
        </is>
      </c>
      <c r="C12" s="27" t="inlineStr">
        <is>
          <t>Short video</t>
        </is>
      </c>
      <c r="D12" s="27" t="inlineStr">
        <is>
          <t>P5_FEATURE_PROOF</t>
        </is>
      </c>
      <c r="E12" s="27" t="inlineStr">
        <is>
          <t>Translate your video captions into 100+ languages with one click.</t>
        </is>
      </c>
      <c r="F12" s="27" t="inlineStr">
        <is>
          <t>Why restrict your content to one language? IncuBrix translates your spoken transcripts and subtitle tracks into over 100 languages instantly.
#GlobalContent #Translation #ShortsViral #IncuBrix #CreatorEconomy</t>
        </is>
      </c>
      <c r="G12" s="27" t="inlineStr">
        <is>
          <t>Expand your reach at www.incubrix.com (300 free credits)</t>
        </is>
      </c>
      <c r="H12" s="27" t="inlineStr">
        <is>
          <t>https://www.incubrix.com/?utm_source=youtube_shorts&amp;utm_medium=short_video&amp;utm_campaign=creator_growth_engine_q4&amp;utm_content=asset_08</t>
        </is>
      </c>
      <c r="I12" s="27" t="inlineStr">
        <is>
          <t>submission/02_main_output/assets/youtube_shorts/asset_08/asset_08.mp4</t>
        </is>
      </c>
      <c r="J12" s="27" t="inlineStr">
        <is>
          <t>submission/02_main_output/assets/youtube_shorts/asset_08/asset_08_spec.json</t>
        </is>
      </c>
      <c r="K12" s="27" t="inlineStr">
        <is>
          <t>submission/03_engine/sample_inputs/anchor_podcast_episode.md</t>
        </is>
      </c>
      <c r="L12" s="27" t="inlineStr">
        <is>
          <t>IncuBrix Python Content Engine v1.0, Pillow, imageio-ffmpeg</t>
        </is>
      </c>
      <c r="M12" s="27" t="inlineStr">
        <is>
          <t>Yes</t>
        </is>
      </c>
      <c r="N12" s="27" t="inlineStr">
        <is>
          <t>No</t>
        </is>
      </c>
      <c r="O12" s="27" t="inlineStr">
        <is>
          <t>2026-11-12 12:00</t>
        </is>
      </c>
      <c r="P12" s="27" t="inlineStr"/>
      <c r="Q12" s="27" t="inlineStr"/>
      <c r="R12" s="27" t="inlineStr"/>
      <c r="S12" s="27" t="inlineStr"/>
      <c r="T12" s="27" t="inlineStr">
        <is>
          <t>Ready</t>
        </is>
      </c>
      <c r="U12" s="27" t="inlineStr">
        <is>
          <t>target_metric=3600_views_3.9pct_engagement; hook_rationale=Direct verified product capability (VF-06: 100+ language caption translation) unlocking international reach.</t>
        </is>
      </c>
      <c r="V12" s="28">
        <f>IF(A12="","",IF(COUNTIF($A$5:$A$154,A12)&gt;1,"DUPLICATE","UNIQUE"))</f>
        <v/>
      </c>
      <c r="W12" s="28">
        <f>IF(A12="","",IF(T12="Rejected","REJECTED",IF(AND(B12&lt;&gt;"",C12&lt;&gt;"",D12&lt;&gt;"",E12&lt;&gt;"",F12&lt;&gt;"",G12&lt;&gt;"",H12&lt;&gt;"",I12&lt;&gt;"",J12&lt;&gt;"",M12&lt;&gt;"",O12&lt;&gt;"",T12&lt;&gt;""),"COMPLETE","MISSING FIELDS")))</f>
        <v/>
      </c>
    </row>
    <row r="13" ht="15" customHeight="1" s="15">
      <c r="A13" s="27" t="inlineStr">
        <is>
          <t>asset_09</t>
        </is>
      </c>
      <c r="B13" s="27" t="inlineStr">
        <is>
          <t>Instagram</t>
        </is>
      </c>
      <c r="C13" s="27" t="inlineStr">
        <is>
          <t>Short video</t>
        </is>
      </c>
      <c r="D13" s="27" t="inlineStr">
        <is>
          <t>P3_REPURPOSE</t>
        </is>
      </c>
      <c r="E13" s="27" t="inlineStr">
        <is>
          <t>Don't let your podcast episode die on Spotify. Here is the 7-day repurpose loop.</t>
        </is>
      </c>
      <c r="F13" s="27" t="inlineStr">
        <is>
          <t>Publishing on Spotify and hoping people listen is not a marketing strategy. Build a 7-day distribution loop across Reels, Shorts, and LinkedIn.
#PodcastMarketing #AudioToVideo #IncuBrix #ContentMarketing #Creators</t>
        </is>
      </c>
      <c r="G13" s="27" t="inlineStr">
        <is>
          <t>Test your first episode at www.incubrix.com</t>
        </is>
      </c>
      <c r="H13" s="27" t="inlineStr">
        <is>
          <t>https://www.incubrix.com/?utm_source=instagram&amp;utm_medium=short_video&amp;utm_campaign=creator_growth_engine_q4&amp;utm_content=asset_09</t>
        </is>
      </c>
      <c r="I13" s="27" t="inlineStr">
        <is>
          <t>submission/02_main_output/assets/instagram/asset_09/asset_09.mp4</t>
        </is>
      </c>
      <c r="J13" s="27" t="inlineStr">
        <is>
          <t>submission/02_main_output/assets/instagram/asset_09/asset_09_spec.json</t>
        </is>
      </c>
      <c r="K13" s="27" t="inlineStr">
        <is>
          <t>submission/03_engine/sample_inputs/anchor_podcast_episode.md</t>
        </is>
      </c>
      <c r="L13" s="27" t="inlineStr">
        <is>
          <t>IncuBrix Python Content Engine v1.0, Pillow, imageio-ffmpeg</t>
        </is>
      </c>
      <c r="M13" s="27" t="inlineStr">
        <is>
          <t>Yes</t>
        </is>
      </c>
      <c r="N13" s="27" t="inlineStr">
        <is>
          <t>No</t>
        </is>
      </c>
      <c r="O13" s="27" t="inlineStr">
        <is>
          <t>2026-11-13 17:00</t>
        </is>
      </c>
      <c r="P13" s="27" t="inlineStr"/>
      <c r="Q13" s="27" t="inlineStr"/>
      <c r="R13" s="27" t="inlineStr"/>
      <c r="S13" s="27" t="inlineStr"/>
      <c r="T13" s="27" t="inlineStr">
        <is>
          <t>Ready</t>
        </is>
      </c>
      <c r="U13" s="27" t="inlineStr">
        <is>
          <t>target_metric=2900_views_3.7pct_engagement; hook_rationale=High emotional relevance for podcasters whose episodes get buried after launch day.</t>
        </is>
      </c>
      <c r="V13" s="28">
        <f>IF(A13="","",IF(COUNTIF($A$5:$A$154,A13)&gt;1,"DUPLICATE","UNIQUE"))</f>
        <v/>
      </c>
      <c r="W13" s="28">
        <f>IF(A13="","",IF(T13="Rejected","REJECTED",IF(AND(B13&lt;&gt;"",C13&lt;&gt;"",D13&lt;&gt;"",E13&lt;&gt;"",F13&lt;&gt;"",G13&lt;&gt;"",H13&lt;&gt;"",I13&lt;&gt;"",J13&lt;&gt;"",M13&lt;&gt;"",O13&lt;&gt;"",T13&lt;&gt;""),"COMPLETE","MISSING FIELDS")))</f>
        <v/>
      </c>
    </row>
    <row r="14" ht="15" customHeight="1" s="15">
      <c r="A14" s="27" t="inlineStr">
        <is>
          <t>asset_10</t>
        </is>
      </c>
      <c r="B14" s="27" t="inlineStr">
        <is>
          <t>YouTube Shorts</t>
        </is>
      </c>
      <c r="C14" s="27" t="inlineStr">
        <is>
          <t>Short video</t>
        </is>
      </c>
      <c r="D14" s="27" t="inlineStr">
        <is>
          <t>P1_WORKFLOW</t>
        </is>
      </c>
      <c r="E14" s="27" t="inlineStr">
        <is>
          <t>Flubbed your guest's name on camera? Don't re-record. Just type the fix.</t>
        </is>
      </c>
      <c r="F14" s="27" t="inlineStr">
        <is>
          <t>Setting up the mic again to re-record a 3-second mistake is painful. IncuBrix clones your voice to patch voiceovers and narration directly from the script.
#VoiceCloning #AudioEditing #CreatorTools #IncuBrix #TechShorts</t>
        </is>
      </c>
      <c r="G14" s="27" t="inlineStr">
        <is>
          <t>Try voice tools free at www.incubrix.com</t>
        </is>
      </c>
      <c r="H14" s="27" t="inlineStr">
        <is>
          <t>https://www.incubrix.com/?utm_source=youtube_shorts&amp;utm_medium=short_video&amp;utm_campaign=creator_growth_engine_q4&amp;utm_content=asset_10</t>
        </is>
      </c>
      <c r="I14" s="27" t="inlineStr">
        <is>
          <t>submission/02_main_output/assets/youtube_shorts/asset_10/asset_10.mp4</t>
        </is>
      </c>
      <c r="J14" s="27" t="inlineStr">
        <is>
          <t>submission/02_main_output/assets/youtube_shorts/asset_10/asset_10_spec.json</t>
        </is>
      </c>
      <c r="K14" s="27" t="inlineStr">
        <is>
          <t>submission/03_engine/sample_inputs/anchor_podcast_episode.md</t>
        </is>
      </c>
      <c r="L14" s="27" t="inlineStr">
        <is>
          <t>IncuBrix Python Content Engine v1.0, Pillow, imageio-ffmpeg</t>
        </is>
      </c>
      <c r="M14" s="27" t="inlineStr">
        <is>
          <t>Yes</t>
        </is>
      </c>
      <c r="N14" s="27" t="inlineStr">
        <is>
          <t>Yes</t>
        </is>
      </c>
      <c r="O14" s="27" t="inlineStr">
        <is>
          <t>2026-11-15 11:30</t>
        </is>
      </c>
      <c r="P14" s="27" t="inlineStr"/>
      <c r="Q14" s="27" t="inlineStr"/>
      <c r="R14" s="27" t="inlineStr"/>
      <c r="S14" s="27" t="inlineStr"/>
      <c r="T14" s="27" t="inlineStr">
        <is>
          <t>Ready</t>
        </is>
      </c>
      <c r="U14" s="27" t="inlineStr">
        <is>
          <t>target_metric=4400_views_4.8pct_engagement; hook_rationale=Highlights verified voice cloning and narration repair (VF-03) solving a common recording headache.</t>
        </is>
      </c>
      <c r="V14" s="28">
        <f>IF(A14="","",IF(COUNTIF($A$5:$A$154,A14)&gt;1,"DUPLICATE","UNIQUE"))</f>
        <v/>
      </c>
      <c r="W14" s="28">
        <f>IF(A14="","",IF(T14="Rejected","REJECTED",IF(AND(B14&lt;&gt;"",C14&lt;&gt;"",D14&lt;&gt;"",E14&lt;&gt;"",F14&lt;&gt;"",G14&lt;&gt;"",H14&lt;&gt;"",I14&lt;&gt;"",J14&lt;&gt;"",M14&lt;&gt;"",O14&lt;&gt;"",T14&lt;&gt;""),"COMPLETE","MISSING FIELDS")))</f>
        <v/>
      </c>
    </row>
    <row r="15" ht="15" customHeight="1" s="15">
      <c r="A15" s="27" t="inlineStr">
        <is>
          <t>asset_11</t>
        </is>
      </c>
      <c r="B15" s="27" t="inlineStr">
        <is>
          <t>Instagram</t>
        </is>
      </c>
      <c r="C15" s="27" t="inlineStr">
        <is>
          <t>Short video</t>
        </is>
      </c>
      <c r="D15" s="27" t="inlineStr">
        <is>
          <t>P4_CREATOR_OPS</t>
        </is>
      </c>
      <c r="E15" s="27" t="inlineStr">
        <is>
          <t>How digital avatars let creators ship video without getting in front of the lens.</t>
        </is>
      </c>
      <c r="F15" s="27" t="inlineStr">
        <is>
          <t>Not feeling camera-ready today? IncuBrix digital avatars deliver scripts lip-synced to your narration so your posting cadence never misses a day.
#DigitalAvatars #VideoCreation #IncuBrix #ContentStrategy #FutureOfContent</t>
        </is>
      </c>
      <c r="G15" s="27" t="inlineStr">
        <is>
          <t>Explore avatar creation at www.incubrix.com</t>
        </is>
      </c>
      <c r="H15" s="27" t="inlineStr">
        <is>
          <t>https://www.incubrix.com/?utm_source=instagram&amp;utm_medium=short_video&amp;utm_campaign=creator_growth_engine_q4&amp;utm_content=asset_11</t>
        </is>
      </c>
      <c r="I15" s="27" t="inlineStr">
        <is>
          <t>submission/02_main_output/assets/instagram/asset_11/asset_11.mp4</t>
        </is>
      </c>
      <c r="J15" s="27" t="inlineStr">
        <is>
          <t>submission/02_main_output/assets/instagram/asset_11/asset_11_spec.json</t>
        </is>
      </c>
      <c r="K15" s="27" t="inlineStr">
        <is>
          <t>submission/03_engine/sample_inputs/anchor_podcast_episode.md</t>
        </is>
      </c>
      <c r="L15" s="27" t="inlineStr">
        <is>
          <t>IncuBrix Python Content Engine v1.0, Pillow, imageio-ffmpeg</t>
        </is>
      </c>
      <c r="M15" s="27" t="inlineStr">
        <is>
          <t>Yes</t>
        </is>
      </c>
      <c r="N15" s="27" t="inlineStr">
        <is>
          <t>Yes</t>
        </is>
      </c>
      <c r="O15" s="27" t="inlineStr">
        <is>
          <t>2026-11-16 16:30</t>
        </is>
      </c>
      <c r="P15" s="27" t="inlineStr"/>
      <c r="Q15" s="27" t="inlineStr"/>
      <c r="R15" s="27" t="inlineStr"/>
      <c r="S15" s="27" t="inlineStr"/>
      <c r="T15" s="27" t="inlineStr">
        <is>
          <t>Ready</t>
        </is>
      </c>
      <c r="U15" s="27" t="inlineStr">
        <is>
          <t>target_metric=3300_views_3.6pct_engagement; hook_rationale=Engages camera-shy creators with verified digital avatar feature (VF-04).</t>
        </is>
      </c>
      <c r="V15" s="28">
        <f>IF(A15="","",IF(COUNTIF($A$5:$A$154,A15)&gt;1,"DUPLICATE","UNIQUE"))</f>
        <v/>
      </c>
      <c r="W15" s="28">
        <f>IF(A15="","",IF(T15="Rejected","REJECTED",IF(AND(B15&lt;&gt;"",C15&lt;&gt;"",D15&lt;&gt;"",E15&lt;&gt;"",F15&lt;&gt;"",G15&lt;&gt;"",H15&lt;&gt;"",I15&lt;&gt;"",J15&lt;&gt;"",M15&lt;&gt;"",O15&lt;&gt;"",T15&lt;&gt;""),"COMPLETE","MISSING FIELDS")))</f>
        <v/>
      </c>
    </row>
    <row r="16" ht="15" customHeight="1" s="15">
      <c r="A16" s="27" t="inlineStr">
        <is>
          <t>asset_12</t>
        </is>
      </c>
      <c r="B16" s="27" t="inlineStr">
        <is>
          <t>YouTube Shorts</t>
        </is>
      </c>
      <c r="C16" s="27" t="inlineStr">
        <is>
          <t>Short video</t>
        </is>
      </c>
      <c r="D16" s="27" t="inlineStr">
        <is>
          <t>P5_FEATURE_PROOF</t>
        </is>
      </c>
      <c r="E16" s="27" t="inlineStr">
        <is>
          <t>300 credits free, no credit card required. What can you actually make?</t>
        </is>
      </c>
      <c r="F16" s="27" t="inlineStr">
        <is>
          <t>No watermarks. No surprise subscriptions. 300 monthly credits is enough to create approximately 21 one-minute clips. See the breakdown.
#SaaSReview #FreeCreatorTools #IncuBrix #VideoClips #BudgetCreator</t>
        </is>
      </c>
      <c r="G16" s="27" t="inlineStr">
        <is>
          <t>Claim your 300 credits at www.incubrix.com</t>
        </is>
      </c>
      <c r="H16" s="27" t="inlineStr">
        <is>
          <t>https://www.incubrix.com/?utm_source=youtube_shorts&amp;utm_medium=short_video&amp;utm_campaign=creator_growth_engine_q4&amp;utm_content=asset_12</t>
        </is>
      </c>
      <c r="I16" s="27" t="inlineStr">
        <is>
          <t>submission/02_main_output/assets/youtube_shorts/asset_12/asset_12.mp4</t>
        </is>
      </c>
      <c r="J16" s="27" t="inlineStr">
        <is>
          <t>submission/02_main_output/assets/youtube_shorts/asset_12/asset_12_spec.json</t>
        </is>
      </c>
      <c r="K16" s="27" t="inlineStr">
        <is>
          <t>submission/03_engine/sample_inputs/anchor_podcast_episode.md</t>
        </is>
      </c>
      <c r="L16" s="27" t="inlineStr">
        <is>
          <t>IncuBrix Python Content Engine v1.0, Pillow, imageio-ffmpeg</t>
        </is>
      </c>
      <c r="M16" s="27" t="inlineStr">
        <is>
          <t>Yes</t>
        </is>
      </c>
      <c r="N16" s="27" t="inlineStr">
        <is>
          <t>No</t>
        </is>
      </c>
      <c r="O16" s="27" t="inlineStr">
        <is>
          <t>2026-11-18 10:30</t>
        </is>
      </c>
      <c r="P16" s="27" t="inlineStr"/>
      <c r="Q16" s="27" t="inlineStr"/>
      <c r="R16" s="27" t="inlineStr"/>
      <c r="S16" s="27" t="inlineStr"/>
      <c r="T16" s="27" t="inlineStr">
        <is>
          <t>Ready</t>
        </is>
      </c>
      <c r="U16" s="27" t="inlineStr">
        <is>
          <t>target_metric=5200_views_5.4pct_engagement; hook_rationale=Transparent pricing teardown addressing creator skepticism directly.</t>
        </is>
      </c>
      <c r="V16" s="28">
        <f>IF(A16="","",IF(COUNTIF($A$5:$A$154,A16)&gt;1,"DUPLICATE","UNIQUE"))</f>
        <v/>
      </c>
      <c r="W16" s="28">
        <f>IF(A16="","",IF(T16="Rejected","REJECTED",IF(AND(B16&lt;&gt;"",C16&lt;&gt;"",D16&lt;&gt;"",E16&lt;&gt;"",F16&lt;&gt;"",G16&lt;&gt;"",H16&lt;&gt;"",I16&lt;&gt;"",J16&lt;&gt;"",M16&lt;&gt;"",O16&lt;&gt;"",T16&lt;&gt;""),"COMPLETE","MISSING FIELDS")))</f>
        <v/>
      </c>
    </row>
    <row r="17" ht="15" customHeight="1" s="15">
      <c r="A17" s="27" t="inlineStr">
        <is>
          <t>asset_13</t>
        </is>
      </c>
      <c r="B17" s="27" t="inlineStr">
        <is>
          <t>LinkedIn</t>
        </is>
      </c>
      <c r="C17" s="27" t="inlineStr">
        <is>
          <t>Carousel</t>
        </is>
      </c>
      <c r="D17" s="27" t="inlineStr">
        <is>
          <t>P1_WORKFLOW</t>
        </is>
      </c>
      <c r="E17" s="27" t="inlineStr">
        <is>
          <t>The 1-Hour to 1-Week Content Matrix: How modern teams automate distribution.</t>
        </is>
      </c>
      <c r="F17" s="27" t="inlineStr">
        <is>
          <t>If you record a weekly podcast or webinar and don't repurpose it into a structured LinkedIn campaign, you are leaving 80% of your audience reach on the table. Swipe through this 5-step matrix.
#ContentStrategy #B2BMarketing #PodcastRepurposing #LinkedInCreators #IncuBrix</t>
        </is>
      </c>
      <c r="G17" s="27" t="inlineStr">
        <is>
          <t>Build your engine with 300 free credits at www.incubrix.com</t>
        </is>
      </c>
      <c r="H17" s="27" t="inlineStr">
        <is>
          <t>https://www.incubrix.com/?utm_source=linkedin&amp;utm_medium=carousel&amp;utm_campaign=creator_growth_engine_q4&amp;utm_content=asset_13</t>
        </is>
      </c>
      <c r="I17" s="27" t="inlineStr">
        <is>
          <t>submission/02_main_output/assets/linkedin/asset_13/asset_13.png</t>
        </is>
      </c>
      <c r="J17" s="27" t="inlineStr">
        <is>
          <t>submission/02_main_output/assets/linkedin/asset_13/asset_13.svg</t>
        </is>
      </c>
      <c r="K17" s="27" t="inlineStr">
        <is>
          <t>submission/03_engine/sample_inputs/anchor_podcast_episode.md</t>
        </is>
      </c>
      <c r="L17" s="27" t="inlineStr">
        <is>
          <t>IncuBrix Python Content Engine v1.0, Pillow, imageio-ffmpeg</t>
        </is>
      </c>
      <c r="M17" s="27" t="inlineStr">
        <is>
          <t>Yes</t>
        </is>
      </c>
      <c r="N17" s="27" t="inlineStr">
        <is>
          <t>No</t>
        </is>
      </c>
      <c r="O17" s="27" t="inlineStr">
        <is>
          <t>2026-11-03 08:30</t>
        </is>
      </c>
      <c r="P17" s="27" t="inlineStr"/>
      <c r="Q17" s="27" t="inlineStr"/>
      <c r="R17" s="27" t="inlineStr"/>
      <c r="S17" s="27" t="inlineStr"/>
      <c r="T17" s="27" t="inlineStr">
        <is>
          <t>Ready</t>
        </is>
      </c>
      <c r="U17" s="27" t="inlineStr">
        <is>
          <t>target_metric=4500_impressions_5.2pct_engagement; hook_rationale=High-status B2B positioning appealing to founders, executives, and content teams on LinkedIn.</t>
        </is>
      </c>
      <c r="V17" s="28">
        <f>IF(A17="","",IF(COUNTIF($A$5:$A$154,A17)&gt;1,"DUPLICATE","UNIQUE"))</f>
        <v/>
      </c>
      <c r="W17" s="28">
        <f>IF(A17="","",IF(T17="Rejected","REJECTED",IF(AND(B17&lt;&gt;"",C17&lt;&gt;"",D17&lt;&gt;"",E17&lt;&gt;"",F17&lt;&gt;"",G17&lt;&gt;"",H17&lt;&gt;"",I17&lt;&gt;"",J17&lt;&gt;"",M17&lt;&gt;"",O17&lt;&gt;"",T17&lt;&gt;""),"COMPLETE","MISSING FIELDS")))</f>
        <v/>
      </c>
    </row>
    <row r="18" ht="15" customHeight="1" s="15">
      <c r="A18" s="27" t="inlineStr">
        <is>
          <t>asset_14</t>
        </is>
      </c>
      <c r="B18" s="27" t="inlineStr">
        <is>
          <t>Instagram</t>
        </is>
      </c>
      <c r="C18" s="27" t="inlineStr">
        <is>
          <t>Carousel</t>
        </is>
      </c>
      <c r="D18" s="27" t="inlineStr">
        <is>
          <t>P3_REPURPOSE</t>
        </is>
      </c>
      <c r="E18" s="27" t="inlineStr">
        <is>
          <t>The Anatomy of a High-Retention Vertical Clip (Slide-by-Slide Breakdown).</t>
        </is>
      </c>
      <c r="F18" s="27" t="inlineStr">
        <is>
          <t>A viral clip is not luck. It is engineering: Top 1/3 visual hook, kinetic word-by-word subtitles, seamless cut pacing, and a low-friction micro-CTA. Save this carousel for your next editing session.
#VideoEditing #ReelsGrowth #ContentAnatomy #VideoCreators #IncuBrix</t>
        </is>
      </c>
      <c r="G18" s="27" t="inlineStr">
        <is>
          <t>Test with 300 free credits at www.incubrix.com</t>
        </is>
      </c>
      <c r="H18" s="27" t="inlineStr">
        <is>
          <t>https://www.incubrix.com/?utm_source=instagram&amp;utm_medium=carousel&amp;utm_campaign=creator_growth_engine_q4&amp;utm_content=asset_14</t>
        </is>
      </c>
      <c r="I18" s="27" t="inlineStr">
        <is>
          <t>submission/02_main_output/assets/instagram/asset_14/asset_14.png</t>
        </is>
      </c>
      <c r="J18" s="27" t="inlineStr">
        <is>
          <t>submission/02_main_output/assets/instagram/asset_14/asset_14.svg</t>
        </is>
      </c>
      <c r="K18" s="27" t="inlineStr">
        <is>
          <t>submission/03_engine/sample_inputs/anchor_podcast_episode.md</t>
        </is>
      </c>
      <c r="L18" s="27" t="inlineStr">
        <is>
          <t>IncuBrix Python Content Engine v1.0, Pillow, imageio-ffmpeg</t>
        </is>
      </c>
      <c r="M18" s="27" t="inlineStr">
        <is>
          <t>Yes</t>
        </is>
      </c>
      <c r="N18" s="27" t="inlineStr">
        <is>
          <t>No</t>
        </is>
      </c>
      <c r="O18" s="27" t="inlineStr">
        <is>
          <t>2026-11-05 13:00</t>
        </is>
      </c>
      <c r="P18" s="27" t="inlineStr"/>
      <c r="Q18" s="27" t="inlineStr"/>
      <c r="R18" s="27" t="inlineStr"/>
      <c r="S18" s="27" t="inlineStr"/>
      <c r="T18" s="27" t="inlineStr">
        <is>
          <t>Ready</t>
        </is>
      </c>
      <c r="U18" s="27" t="inlineStr">
        <is>
          <t>target_metric=3200_impressions_4.8pct_engagement; hook_rationale=Visual educational teardown tailored for Instagram creators and editors.</t>
        </is>
      </c>
      <c r="V18" s="28">
        <f>IF(A18="","",IF(COUNTIF($A$5:$A$154,A18)&gt;1,"DUPLICATE","UNIQUE"))</f>
        <v/>
      </c>
      <c r="W18" s="28">
        <f>IF(A18="","",IF(T18="Rejected","REJECTED",IF(AND(B18&lt;&gt;"",C18&lt;&gt;"",D18&lt;&gt;"",E18&lt;&gt;"",F18&lt;&gt;"",G18&lt;&gt;"",H18&lt;&gt;"",I18&lt;&gt;"",J18&lt;&gt;"",M18&lt;&gt;"",O18&lt;&gt;"",T18&lt;&gt;""),"COMPLETE","MISSING FIELDS")))</f>
        <v/>
      </c>
    </row>
    <row r="19" ht="15" customHeight="1" s="15">
      <c r="A19" s="27" t="inlineStr">
        <is>
          <t>asset_15</t>
        </is>
      </c>
      <c r="B19" s="27" t="inlineStr">
        <is>
          <t>LinkedIn</t>
        </is>
      </c>
      <c r="C19" s="27" t="inlineStr">
        <is>
          <t>Graphic</t>
        </is>
      </c>
      <c r="D19" s="27" t="inlineStr">
        <is>
          <t>P4_CREATOR_OPS</t>
        </is>
      </c>
      <c r="E19" s="27" t="inlineStr">
        <is>
          <t>The Fragmented Stack vs The Unified Creator Hub (Infographic Comparison).</t>
        </is>
      </c>
      <c r="F19" s="27" t="inlineStr">
        <is>
          <t>Transcription ($15) + Video Editor ($25) + Subtitle Tool ($20) + Scheduler ($30) + Graphics ($13) = $103/mo and endless tab juggling. IncuBrix consolidates creation, editing, and publishing into one workspace.
#CreatorEconomy #TechStack #SaaS #Productivity #IncuBrix</t>
        </is>
      </c>
      <c r="G19" s="27" t="inlineStr">
        <is>
          <t>Consolidate your stack at www.incubrix.com (free 300 credits)</t>
        </is>
      </c>
      <c r="H19" s="27" t="inlineStr">
        <is>
          <t>https://www.incubrix.com/?utm_source=linkedin&amp;utm_medium=graphic&amp;utm_campaign=creator_growth_engine_q4&amp;utm_content=asset_15</t>
        </is>
      </c>
      <c r="I19" s="27" t="inlineStr">
        <is>
          <t>submission/02_main_output/assets/linkedin/asset_15/asset_15.png</t>
        </is>
      </c>
      <c r="J19" s="27" t="inlineStr">
        <is>
          <t>submission/02_main_output/assets/linkedin/asset_15/asset_15.svg</t>
        </is>
      </c>
      <c r="K19" s="27" t="inlineStr">
        <is>
          <t>submission/03_engine/sample_inputs/anchor_podcast_episode.md</t>
        </is>
      </c>
      <c r="L19" s="27" t="inlineStr">
        <is>
          <t>IncuBrix Python Content Engine v1.0, Pillow, imageio-ffmpeg</t>
        </is>
      </c>
      <c r="M19" s="27" t="inlineStr">
        <is>
          <t>Yes</t>
        </is>
      </c>
      <c r="N19" s="27" t="inlineStr">
        <is>
          <t>No</t>
        </is>
      </c>
      <c r="O19" s="27" t="inlineStr">
        <is>
          <t>2026-11-07 09:15</t>
        </is>
      </c>
      <c r="P19" s="27" t="inlineStr"/>
      <c r="Q19" s="27" t="inlineStr"/>
      <c r="R19" s="27" t="inlineStr"/>
      <c r="S19" s="27" t="inlineStr"/>
      <c r="T19" s="27" t="inlineStr">
        <is>
          <t>Ready</t>
        </is>
      </c>
      <c r="U19" s="27" t="inlineStr">
        <is>
          <t>target_metric=3800_impressions_4.4pct_engagement; hook_rationale=Financial cost comparison exposes tool redundancy and promotes consolidation.</t>
        </is>
      </c>
      <c r="V19" s="28">
        <f>IF(A19="","",IF(COUNTIF($A$5:$A$154,A19)&gt;1,"DUPLICATE","UNIQUE"))</f>
        <v/>
      </c>
      <c r="W19" s="28">
        <f>IF(A19="","",IF(T19="Rejected","REJECTED",IF(AND(B19&lt;&gt;"",C19&lt;&gt;"",D19&lt;&gt;"",E19&lt;&gt;"",F19&lt;&gt;"",G19&lt;&gt;"",H19&lt;&gt;"",I19&lt;&gt;"",J19&lt;&gt;"",M19&lt;&gt;"",O19&lt;&gt;"",T19&lt;&gt;""),"COMPLETE","MISSING FIELDS")))</f>
        <v/>
      </c>
    </row>
    <row r="20" ht="15" customHeight="1" s="15">
      <c r="A20" s="27" t="inlineStr">
        <is>
          <t>asset_16</t>
        </is>
      </c>
      <c r="B20" s="27" t="inlineStr">
        <is>
          <t>Instagram</t>
        </is>
      </c>
      <c r="C20" s="27" t="inlineStr">
        <is>
          <t>Graphic</t>
        </is>
      </c>
      <c r="D20" s="27" t="inlineStr">
        <is>
          <t>P5_FEATURE_PROOF</t>
        </is>
      </c>
      <c r="E20" s="27" t="inlineStr">
        <is>
          <t>How 300 Monthly Credits Breaks Down in Real Content Output.</t>
        </is>
      </c>
      <c r="F20" s="27" t="inlineStr">
        <is>
          <t>What does '300 credits' actually buy? Here is the exact breakdown: ~21 minutes of finished, captioned vertical video ready for YouTube Shorts and Instagram Reels. 100% free, no credit card required.
#IncuBrix #TransparentPricing #CreatorTools #VideoClips #NoCardNeeded</t>
        </is>
      </c>
      <c r="G20" s="27" t="inlineStr">
        <is>
          <t>Claim your 300 credits at www.incubrix.com</t>
        </is>
      </c>
      <c r="H20" s="27" t="inlineStr">
        <is>
          <t>https://www.incubrix.com/?utm_source=instagram&amp;utm_medium=graphic&amp;utm_campaign=creator_growth_engine_q4&amp;utm_content=asset_16</t>
        </is>
      </c>
      <c r="I20" s="27" t="inlineStr">
        <is>
          <t>submission/02_main_output/assets/instagram/asset_16/asset_16.png</t>
        </is>
      </c>
      <c r="J20" s="27" t="inlineStr">
        <is>
          <t>submission/02_main_output/assets/instagram/asset_16/asset_16.svg</t>
        </is>
      </c>
      <c r="K20" s="27" t="inlineStr">
        <is>
          <t>submission/03_engine/sample_inputs/anchor_podcast_episode.md</t>
        </is>
      </c>
      <c r="L20" s="27" t="inlineStr">
        <is>
          <t>IncuBrix Python Content Engine v1.0, Pillow, imageio-ffmpeg</t>
        </is>
      </c>
      <c r="M20" s="27" t="inlineStr">
        <is>
          <t>Yes</t>
        </is>
      </c>
      <c r="N20" s="27" t="inlineStr">
        <is>
          <t>No</t>
        </is>
      </c>
      <c r="O20" s="27" t="inlineStr">
        <is>
          <t>2026-11-09 14:45</t>
        </is>
      </c>
      <c r="P20" s="27" t="inlineStr"/>
      <c r="Q20" s="27" t="inlineStr"/>
      <c r="R20" s="27" t="inlineStr"/>
      <c r="S20" s="27" t="inlineStr"/>
      <c r="T20" s="27" t="inlineStr">
        <is>
          <t>Ready</t>
        </is>
      </c>
      <c r="U20" s="27" t="inlineStr">
        <is>
          <t>target_metric=2600_impressions_3.9pct_engagement; hook_rationale=Transparent infographics build trust with skeptical creators looking for no-bs numbers.</t>
        </is>
      </c>
      <c r="V20" s="28">
        <f>IF(A20="","",IF(COUNTIF($A$5:$A$154,A20)&gt;1,"DUPLICATE","UNIQUE"))</f>
        <v/>
      </c>
      <c r="W20" s="28">
        <f>IF(A20="","",IF(T20="Rejected","REJECTED",IF(AND(B20&lt;&gt;"",C20&lt;&gt;"",D20&lt;&gt;"",E20&lt;&gt;"",F20&lt;&gt;"",G20&lt;&gt;"",H20&lt;&gt;"",I20&lt;&gt;"",J20&lt;&gt;"",M20&lt;&gt;"",O20&lt;&gt;"",T20&lt;&gt;""),"COMPLETE","MISSING FIELDS")))</f>
        <v/>
      </c>
    </row>
    <row r="21" ht="15" customHeight="1" s="15">
      <c r="A21" s="27" t="inlineStr">
        <is>
          <t>asset_17</t>
        </is>
      </c>
      <c r="B21" s="27" t="inlineStr">
        <is>
          <t>LinkedIn</t>
        </is>
      </c>
      <c r="C21" s="27" t="inlineStr">
        <is>
          <t>Carousel</t>
        </is>
      </c>
      <c r="D21" s="27" t="inlineStr">
        <is>
          <t>P2_HOOKS</t>
        </is>
      </c>
      <c r="E21" s="27" t="inlineStr">
        <is>
          <t>7 High-Converting Hook Frameworks for Video and Text Posts.</t>
        </is>
      </c>
      <c r="F21" s="27" t="inlineStr">
        <is>
          <t>Your content is only as good as the first sentence. If the hook fails, the insight never gets heard. Swipe through 7 battle-tested hook formulas to use on your next upload.
#HookFormulas #Copywriting #CreatorHacks #LinkedInGrowth #IncuBrix</t>
        </is>
      </c>
      <c r="G21" s="27" t="inlineStr">
        <is>
          <t>Auto-generate viral hooks with IncuBrix at www.incubrix.com</t>
        </is>
      </c>
      <c r="H21" s="27" t="inlineStr">
        <is>
          <t>https://www.incubrix.com/?utm_source=linkedin&amp;utm_medium=carousel&amp;utm_campaign=creator_growth_engine_q4&amp;utm_content=asset_17</t>
        </is>
      </c>
      <c r="I21" s="27" t="inlineStr">
        <is>
          <t>submission/02_main_output/assets/linkedin/asset_17/asset_17.png</t>
        </is>
      </c>
      <c r="J21" s="27" t="inlineStr">
        <is>
          <t>submission/02_main_output/assets/linkedin/asset_17/asset_17.svg</t>
        </is>
      </c>
      <c r="K21" s="27" t="inlineStr">
        <is>
          <t>submission/03_engine/sample_inputs/anchor_podcast_episode.md</t>
        </is>
      </c>
      <c r="L21" s="27" t="inlineStr">
        <is>
          <t>IncuBrix Python Content Engine v1.0, Pillow, imageio-ffmpeg</t>
        </is>
      </c>
      <c r="M21" s="27" t="inlineStr">
        <is>
          <t>Yes</t>
        </is>
      </c>
      <c r="N21" s="27" t="inlineStr">
        <is>
          <t>No</t>
        </is>
      </c>
      <c r="O21" s="27" t="inlineStr">
        <is>
          <t>2026-11-11 08:45</t>
        </is>
      </c>
      <c r="P21" s="27" t="inlineStr"/>
      <c r="Q21" s="27" t="inlineStr"/>
      <c r="R21" s="27" t="inlineStr"/>
      <c r="S21" s="27" t="inlineStr"/>
      <c r="T21" s="27" t="inlineStr">
        <is>
          <t>Ready</t>
        </is>
      </c>
      <c r="U21" s="27" t="inlineStr">
        <is>
          <t>target_metric=5100_impressions_5.8pct_engagement; hook_rationale=High-utility swipe file that creators bookmark and refer back to repeatedly.</t>
        </is>
      </c>
      <c r="V21" s="28">
        <f>IF(A21="","",IF(COUNTIF($A$5:$A$154,A21)&gt;1,"DUPLICATE","UNIQUE"))</f>
        <v/>
      </c>
      <c r="W21" s="28">
        <f>IF(A21="","",IF(T21="Rejected","REJECTED",IF(AND(B21&lt;&gt;"",C21&lt;&gt;"",D21&lt;&gt;"",E21&lt;&gt;"",F21&lt;&gt;"",G21&lt;&gt;"",H21&lt;&gt;"",I21&lt;&gt;"",J21&lt;&gt;"",M21&lt;&gt;"",O21&lt;&gt;"",T21&lt;&gt;""),"COMPLETE","MISSING FIELDS")))</f>
        <v/>
      </c>
    </row>
    <row r="22" ht="15" customHeight="1" s="15">
      <c r="A22" s="27" t="inlineStr">
        <is>
          <t>asset_18</t>
        </is>
      </c>
      <c r="B22" s="27" t="inlineStr">
        <is>
          <t>Instagram</t>
        </is>
      </c>
      <c r="C22" s="27" t="inlineStr">
        <is>
          <t>Carousel</t>
        </is>
      </c>
      <c r="D22" s="27" t="inlineStr">
        <is>
          <t>P1_WORKFLOW</t>
        </is>
      </c>
      <c r="E22" s="27" t="inlineStr">
        <is>
          <t>The Sunday Prep: How to schedule a full week of Reels in 45 minutes.</t>
        </is>
      </c>
      <c r="F22" s="27" t="inlineStr">
        <is>
          <t>Daily content panic is the #1 cause of creator burnout. Batch your anchor recording once a week, let IncuBrix extract your top moments, and schedule your entire week in under an hour.
#ContentBatching #CreatorSanity #WorkSmarter #InstagramReels #IncuBrix</t>
        </is>
      </c>
      <c r="G22" s="27" t="inlineStr">
        <is>
          <t>Start your batch routine at www.incubrix.com</t>
        </is>
      </c>
      <c r="H22" s="27" t="inlineStr">
        <is>
          <t>https://www.incubrix.com/?utm_source=instagram&amp;utm_medium=carousel&amp;utm_campaign=creator_growth_engine_q4&amp;utm_content=asset_18</t>
        </is>
      </c>
      <c r="I22" s="27" t="inlineStr">
        <is>
          <t>submission/02_main_output/assets/instagram/asset_18/asset_18.png</t>
        </is>
      </c>
      <c r="J22" s="27" t="inlineStr">
        <is>
          <t>submission/02_main_output/assets/instagram/asset_18/asset_18.svg</t>
        </is>
      </c>
      <c r="K22" s="27" t="inlineStr">
        <is>
          <t>submission/03_engine/sample_inputs/anchor_podcast_episode.md</t>
        </is>
      </c>
      <c r="L22" s="27" t="inlineStr">
        <is>
          <t>IncuBrix Python Content Engine v1.0, Pillow, imageio-ffmpeg</t>
        </is>
      </c>
      <c r="M22" s="27" t="inlineStr">
        <is>
          <t>Yes</t>
        </is>
      </c>
      <c r="N22" s="27" t="inlineStr">
        <is>
          <t>No</t>
        </is>
      </c>
      <c r="O22" s="27" t="inlineStr">
        <is>
          <t>2026-11-13 13:30</t>
        </is>
      </c>
      <c r="P22" s="27" t="inlineStr"/>
      <c r="Q22" s="27" t="inlineStr"/>
      <c r="R22" s="27" t="inlineStr"/>
      <c r="S22" s="27" t="inlineStr"/>
      <c r="T22" s="27" t="inlineStr">
        <is>
          <t>Ready</t>
        </is>
      </c>
      <c r="U22" s="27" t="inlineStr">
        <is>
          <t>target_metric=3400_impressions_4.6pct_engagement; hook_rationale=Solves daily content creation anxiety by giving a predictable batching routine.</t>
        </is>
      </c>
      <c r="V22" s="28">
        <f>IF(A22="","",IF(COUNTIF($A$5:$A$154,A22)&gt;1,"DUPLICATE","UNIQUE"))</f>
        <v/>
      </c>
      <c r="W22" s="28">
        <f>IF(A22="","",IF(T22="Rejected","REJECTED",IF(AND(B22&lt;&gt;"",C22&lt;&gt;"",D22&lt;&gt;"",E22&lt;&gt;"",F22&lt;&gt;"",G22&lt;&gt;"",H22&lt;&gt;"",I22&lt;&gt;"",J22&lt;&gt;"",M22&lt;&gt;"",O22&lt;&gt;"",T22&lt;&gt;""),"COMPLETE","MISSING FIELDS")))</f>
        <v/>
      </c>
    </row>
    <row r="23" ht="15" customHeight="1" s="15">
      <c r="A23" s="27" t="inlineStr">
        <is>
          <t>asset_19</t>
        </is>
      </c>
      <c r="B23" s="27" t="inlineStr">
        <is>
          <t>LinkedIn</t>
        </is>
      </c>
      <c r="C23" s="27" t="inlineStr">
        <is>
          <t>Graphic</t>
        </is>
      </c>
      <c r="D23" s="27" t="inlineStr">
        <is>
          <t>P4_CREATOR_OPS</t>
        </is>
      </c>
      <c r="E23" s="27" t="inlineStr">
        <is>
          <t>Creator Collaboration Without Chaos: The Team Workspace Blueprint.</t>
        </is>
      </c>
      <c r="F23" s="27" t="inlineStr">
        <is>
          <t>No more sending large WeTransfer links and chasing feedback across Slack threads. Invite your editor, ghostwriter, and manager into one shared IncuBrix workspace.
#Agencies #VideoEditing #Collaboration #TeamWorkflow #IncuBrix</t>
        </is>
      </c>
      <c r="G23" s="27" t="inlineStr">
        <is>
          <t>Invite your team free at www.incubrix.com</t>
        </is>
      </c>
      <c r="H23" s="27" t="inlineStr">
        <is>
          <t>https://www.incubrix.com/?utm_source=linkedin&amp;utm_medium=graphic&amp;utm_campaign=creator_growth_engine_q4&amp;utm_content=asset_19</t>
        </is>
      </c>
      <c r="I23" s="27" t="inlineStr">
        <is>
          <t>submission/02_main_output/assets/linkedin/asset_19/asset_19.png</t>
        </is>
      </c>
      <c r="J23" s="27" t="inlineStr">
        <is>
          <t>submission/02_main_output/assets/linkedin/asset_19/asset_19.svg</t>
        </is>
      </c>
      <c r="K23" s="27" t="inlineStr">
        <is>
          <t>submission/03_engine/sample_inputs/anchor_podcast_episode.md</t>
        </is>
      </c>
      <c r="L23" s="27" t="inlineStr">
        <is>
          <t>IncuBrix Python Content Engine v1.0, Pillow, imageio-ffmpeg</t>
        </is>
      </c>
      <c r="M23" s="27" t="inlineStr">
        <is>
          <t>Yes</t>
        </is>
      </c>
      <c r="N23" s="27" t="inlineStr">
        <is>
          <t>No</t>
        </is>
      </c>
      <c r="O23" s="27" t="inlineStr">
        <is>
          <t>2026-11-15 09:30</t>
        </is>
      </c>
      <c r="P23" s="27" t="inlineStr"/>
      <c r="Q23" s="27" t="inlineStr"/>
      <c r="R23" s="27" t="inlineStr"/>
      <c r="S23" s="27" t="inlineStr"/>
      <c r="T23" s="27" t="inlineStr">
        <is>
          <t>Ready</t>
        </is>
      </c>
      <c r="U23" s="27" t="inlineStr">
        <is>
          <t>target_metric=3900_impressions_4.7pct_engagement; hook_rationale=Directly speaks to agencies, video editors, and multi-creator managers.</t>
        </is>
      </c>
      <c r="V23" s="28">
        <f>IF(A23="","",IF(COUNTIF($A$5:$A$154,A23)&gt;1,"DUPLICATE","UNIQUE"))</f>
        <v/>
      </c>
      <c r="W23" s="28">
        <f>IF(A23="","",IF(T23="Rejected","REJECTED",IF(AND(B23&lt;&gt;"",C23&lt;&gt;"",D23&lt;&gt;"",E23&lt;&gt;"",F23&lt;&gt;"",G23&lt;&gt;"",H23&lt;&gt;"",I23&lt;&gt;"",J23&lt;&gt;"",M23&lt;&gt;"",O23&lt;&gt;"",T23&lt;&gt;""),"COMPLETE","MISSING FIELDS")))</f>
        <v/>
      </c>
    </row>
    <row r="24" ht="15" customHeight="1" s="15">
      <c r="A24" s="27" t="inlineStr">
        <is>
          <t>asset_20</t>
        </is>
      </c>
      <c r="B24" s="27" t="inlineStr">
        <is>
          <t>Instagram</t>
        </is>
      </c>
      <c r="C24" s="27" t="inlineStr">
        <is>
          <t>Graphic</t>
        </is>
      </c>
      <c r="D24" s="27" t="inlineStr">
        <is>
          <t>P3_REPURPOSE</t>
        </is>
      </c>
      <c r="E24" s="27" t="inlineStr">
        <is>
          <t>The 1-to-10 Repurposing Wheel (Save This Infographic).</t>
        </is>
      </c>
      <c r="F24" s="27" t="inlineStr">
        <is>
          <t>Stop letting your ideas stay trapped in one audio file. Repurpose like a modern studio: 3 Shorts, 3 Reels, 2 Carousels, and 2 Thought Leadership posts.
#Infographic #ContentMarketing #CreatorGrowth #IncuBrix #PodcastTips</t>
        </is>
      </c>
      <c r="G24" s="27" t="inlineStr">
        <is>
          <t>Transform your audio free at www.incubrix.com</t>
        </is>
      </c>
      <c r="H24" s="27" t="inlineStr">
        <is>
          <t>https://www.incubrix.com/?utm_source=instagram&amp;utm_medium=graphic&amp;utm_campaign=creator_growth_engine_q4&amp;utm_content=asset_20</t>
        </is>
      </c>
      <c r="I24" s="27" t="inlineStr">
        <is>
          <t>submission/02_main_output/assets/instagram/asset_20/asset_20.png</t>
        </is>
      </c>
      <c r="J24" s="27" t="inlineStr">
        <is>
          <t>submission/02_main_output/assets/instagram/asset_20/asset_20.svg</t>
        </is>
      </c>
      <c r="K24" s="27" t="inlineStr">
        <is>
          <t>submission/03_engine/sample_inputs/anchor_podcast_episode.md</t>
        </is>
      </c>
      <c r="L24" s="27" t="inlineStr">
        <is>
          <t>IncuBrix Python Content Engine v1.0, Pillow, imageio-ffmpeg</t>
        </is>
      </c>
      <c r="M24" s="27" t="inlineStr">
        <is>
          <t>Yes</t>
        </is>
      </c>
      <c r="N24" s="27" t="inlineStr">
        <is>
          <t>No</t>
        </is>
      </c>
      <c r="O24" s="27" t="inlineStr">
        <is>
          <t>2026-11-17 15:00</t>
        </is>
      </c>
      <c r="P24" s="27" t="inlineStr"/>
      <c r="Q24" s="27" t="inlineStr"/>
      <c r="R24" s="27" t="inlineStr"/>
      <c r="S24" s="27" t="inlineStr"/>
      <c r="T24" s="27" t="inlineStr">
        <is>
          <t>Ready</t>
        </is>
      </c>
      <c r="U24" s="27" t="inlineStr">
        <is>
          <t>target_metric=2900_impressions_4.1pct_engagement; hook_rationale=High-shareability wheel graphic demonstrating multi-format conversion.</t>
        </is>
      </c>
      <c r="V24" s="28">
        <f>IF(A24="","",IF(COUNTIF($A$5:$A$154,A24)&gt;1,"DUPLICATE","UNIQUE"))</f>
        <v/>
      </c>
      <c r="W24" s="28">
        <f>IF(A24="","",IF(T24="Rejected","REJECTED",IF(AND(B24&lt;&gt;"",C24&lt;&gt;"",D24&lt;&gt;"",E24&lt;&gt;"",F24&lt;&gt;"",G24&lt;&gt;"",H24&lt;&gt;"",I24&lt;&gt;"",J24&lt;&gt;"",M24&lt;&gt;"",O24&lt;&gt;"",T24&lt;&gt;""),"COMPLETE","MISSING FIELDS")))</f>
        <v/>
      </c>
    </row>
    <row r="25" ht="15" customHeight="1" s="15">
      <c r="A25" s="27" t="inlineStr">
        <is>
          <t>asset_21</t>
        </is>
      </c>
      <c r="B25" s="27" t="inlineStr">
        <is>
          <t>LinkedIn</t>
        </is>
      </c>
      <c r="C25" s="27" t="inlineStr">
        <is>
          <t>Text post</t>
        </is>
      </c>
      <c r="D25" s="27" t="inlineStr">
        <is>
          <t>P1_WORKFLOW</t>
        </is>
      </c>
      <c r="E25" s="27" t="inlineStr">
        <is>
          <t>Most creators spend 80% of their time on logistics and 20% on creative thought.</t>
        </is>
      </c>
      <c r="F25" s="27" t="inlineStr">
        <is>
          <t>Most creators spend 80% of their time on logistics and 20% on creative thought.
They record for 45 minutes.
Then spend 3 hours:
- Scrubbing video timelines
- Fixing auto-transcription errors
- Resizing to 9:16 vertical
- Copy-pasting captions into 4 different scheduling tabs
This is why podcasters burn out.
The future belongs to creators who run their content like a software pipeline: record once, let AI text-edit and repurpose, and publish from one central screen.
Work on the message. Let software handle the distribution.
#CreatorOps #ContentStrategy #B2BMarketing #Productivity #IncuBrix</t>
        </is>
      </c>
      <c r="G25" s="27" t="inlineStr">
        <is>
          <t>Test the CreatorOps workflow with 300 free credits at www.incubrix.com</t>
        </is>
      </c>
      <c r="H25" s="27" t="inlineStr">
        <is>
          <t>https://www.incubrix.com/?utm_source=linkedin&amp;utm_medium=text_post&amp;utm_campaign=creator_growth_engine_q4&amp;utm_content=asset_21</t>
        </is>
      </c>
      <c r="I25" s="27" t="inlineStr">
        <is>
          <t>submission/02_main_output/assets/linkedin/asset_21/asset_21.txt</t>
        </is>
      </c>
      <c r="J25" s="27" t="inlineStr">
        <is>
          <t>submission/02_main_output/assets/linkedin/asset_21/asset_21_source.json</t>
        </is>
      </c>
      <c r="K25" s="27" t="inlineStr">
        <is>
          <t>submission/03_engine/sample_inputs/anchor_podcast_episode.md</t>
        </is>
      </c>
      <c r="L25" s="27" t="inlineStr">
        <is>
          <t>IncuBrix Python Content Engine v1.0, Pillow, imageio-ffmpeg</t>
        </is>
      </c>
      <c r="M25" s="27" t="inlineStr">
        <is>
          <t>Yes</t>
        </is>
      </c>
      <c r="N25" s="27" t="inlineStr">
        <is>
          <t>No</t>
        </is>
      </c>
      <c r="O25" s="27" t="inlineStr">
        <is>
          <t>2026-11-02 08:15</t>
        </is>
      </c>
      <c r="P25" s="27" t="inlineStr"/>
      <c r="Q25" s="27" t="inlineStr"/>
      <c r="R25" s="27" t="inlineStr"/>
      <c r="S25" s="27" t="inlineStr"/>
      <c r="T25" s="27" t="inlineStr">
        <is>
          <t>Ready</t>
        </is>
      </c>
      <c r="U25" s="27" t="inlineStr">
        <is>
          <t>target_metric=4200_impressions_4.9pct_engagement; hook_rationale=Provocative observation highlighting misallocated creative energy in B2B content.</t>
        </is>
      </c>
      <c r="V25" s="28">
        <f>IF(A25="","",IF(COUNTIF($A$5:$A$154,A25)&gt;1,"DUPLICATE","UNIQUE"))</f>
        <v/>
      </c>
      <c r="W25" s="28">
        <f>IF(A25="","",IF(T25="Rejected","REJECTED",IF(AND(B25&lt;&gt;"",C25&lt;&gt;"",D25&lt;&gt;"",E25&lt;&gt;"",F25&lt;&gt;"",G25&lt;&gt;"",H25&lt;&gt;"",I25&lt;&gt;"",J25&lt;&gt;"",M25&lt;&gt;"",O25&lt;&gt;"",T25&lt;&gt;""),"COMPLETE","MISSING FIELDS")))</f>
        <v/>
      </c>
    </row>
    <row r="26" ht="15" customHeight="1" s="15">
      <c r="A26" s="27" t="inlineStr">
        <is>
          <t>asset_22</t>
        </is>
      </c>
      <c r="B26" s="27" t="inlineStr">
        <is>
          <t>LinkedIn</t>
        </is>
      </c>
      <c r="C26" s="27" t="inlineStr">
        <is>
          <t>Text post</t>
        </is>
      </c>
      <c r="D26" s="27" t="inlineStr">
        <is>
          <t>P4_CREATOR_OPS</t>
        </is>
      </c>
      <c r="E26" s="27" t="inlineStr">
        <is>
          <t>Why the 'CreatorOps' shift will define the creator economy in 2026.</t>
        </is>
      </c>
      <c r="F26" s="27" t="inlineStr">
        <is>
          <t>In 2020, being a creator was about having a camera and a microphone.
In 2026, being a creator is about operating an asset distribution engine.
The creators winning today don't work 60 hours a week.
They build a systematic pipeline:
1. Spot trending niche gaps before recording (Content Insights)
2. Edit videos as easily as editing a Google Doc (Text-based editing)
3. Repurpose 1 anchor conversation into 10 platform deliverables
4. Dispatch to YouTube, Instagram, and LinkedIn without tab juggling
Scale your output without scaling your stress.
#CreatorEconomy #BusinessOfContent #Automation #IncuBrix</t>
        </is>
      </c>
      <c r="G26" s="27" t="inlineStr">
        <is>
          <t>See how CreatorOps works at www.incubrix.com (no card needed)</t>
        </is>
      </c>
      <c r="H26" s="27" t="inlineStr">
        <is>
          <t>https://www.incubrix.com/?utm_source=linkedin&amp;utm_medium=text_post&amp;utm_campaign=creator_growth_engine_q4&amp;utm_content=asset_22</t>
        </is>
      </c>
      <c r="I26" s="27" t="inlineStr">
        <is>
          <t>submission/02_main_output/assets/linkedin/asset_22/asset_22.txt</t>
        </is>
      </c>
      <c r="J26" s="27" t="inlineStr">
        <is>
          <t>submission/02_main_output/assets/linkedin/asset_22/asset_22_source.json</t>
        </is>
      </c>
      <c r="K26" s="27" t="inlineStr">
        <is>
          <t>submission/03_engine/sample_inputs/anchor_podcast_episode.md</t>
        </is>
      </c>
      <c r="L26" s="27" t="inlineStr">
        <is>
          <t>IncuBrix Python Content Engine v1.0, Pillow, imageio-ffmpeg</t>
        </is>
      </c>
      <c r="M26" s="27" t="inlineStr">
        <is>
          <t>Yes</t>
        </is>
      </c>
      <c r="N26" s="27" t="inlineStr">
        <is>
          <t>No</t>
        </is>
      </c>
      <c r="O26" s="27" t="inlineStr">
        <is>
          <t>2026-11-04 09:00</t>
        </is>
      </c>
      <c r="P26" s="27" t="inlineStr"/>
      <c r="Q26" s="27" t="inlineStr"/>
      <c r="R26" s="27" t="inlineStr"/>
      <c r="S26" s="27" t="inlineStr"/>
      <c r="T26" s="27" t="inlineStr">
        <is>
          <t>Ready</t>
        </is>
      </c>
      <c r="U26" s="27" t="inlineStr">
        <is>
          <t>target_metric=3900_impressions_4.6pct_engagement; hook_rationale=Frames content creation as an operational discipline rather than an artistic fluke.</t>
        </is>
      </c>
      <c r="V26" s="28">
        <f>IF(A26="","",IF(COUNTIF($A$5:$A$154,A26)&gt;1,"DUPLICATE","UNIQUE"))</f>
        <v/>
      </c>
      <c r="W26" s="28">
        <f>IF(A26="","",IF(T26="Rejected","REJECTED",IF(AND(B26&lt;&gt;"",C26&lt;&gt;"",D26&lt;&gt;"",E26&lt;&gt;"",F26&lt;&gt;"",G26&lt;&gt;"",H26&lt;&gt;"",I26&lt;&gt;"",J26&lt;&gt;"",M26&lt;&gt;"",O26&lt;&gt;"",T26&lt;&gt;""),"COMPLETE","MISSING FIELDS")))</f>
        <v/>
      </c>
    </row>
    <row r="27" ht="15" customHeight="1" s="15">
      <c r="A27" s="27" t="inlineStr">
        <is>
          <t>asset_23</t>
        </is>
      </c>
      <c r="B27" s="27" t="inlineStr">
        <is>
          <t>X</t>
        </is>
      </c>
      <c r="C27" s="27" t="inlineStr">
        <is>
          <t>Thread</t>
        </is>
      </c>
      <c r="D27" s="27" t="inlineStr">
        <is>
          <t>P3_REPURPOSE</t>
        </is>
      </c>
      <c r="E27" s="27" t="inlineStr">
        <is>
          <t>How to turn 1 podcast episode into 10 high-performing social posts (step-by-step thread):</t>
        </is>
      </c>
      <c r="F27" s="27" t="inlineStr">
        <is>
          <t>How to turn 1 podcast episode into 10 high-performing social posts (step-by-step thread):
1/ The Anchor Recording: Record 30-45 mins of unscripted expertise.
2/ The Transcript Cut: Highlight core takeaways and delete filler words.
3/ The 3 Short Clips: Extract 3 high-retention moments with karaoke captions.
4/ The Slide Carousel: Turn the episode framework into a 5-slide visual PDF.
5/ The Thought Leadership Posts: Turn contrarian opinions into written essays.
6/ The Unified Dispatch: Schedule across platforms from one dashboard.
Stop creating new content every day. Repurpose what works.
#Thread #CreatorHacks #ContentRepurposing #IncuBrix</t>
        </is>
      </c>
      <c r="G27" s="27" t="inlineStr">
        <is>
          <t>Start free with 300 credits at www.incubrix.com</t>
        </is>
      </c>
      <c r="H27" s="27" t="inlineStr">
        <is>
          <t>https://www.incubrix.com/?utm_source=x&amp;utm_medium=thread&amp;utm_campaign=creator_growth_engine_q4&amp;utm_content=asset_23</t>
        </is>
      </c>
      <c r="I27" s="27" t="inlineStr">
        <is>
          <t>submission/02_main_output/assets/x/asset_23/asset_23.txt</t>
        </is>
      </c>
      <c r="J27" s="27" t="inlineStr">
        <is>
          <t>submission/02_main_output/assets/x/asset_23/asset_23_source.json</t>
        </is>
      </c>
      <c r="K27" s="27" t="inlineStr">
        <is>
          <t>submission/03_engine/sample_inputs/anchor_podcast_episode.md</t>
        </is>
      </c>
      <c r="L27" s="27" t="inlineStr">
        <is>
          <t>IncuBrix Python Content Engine v1.0, Pillow, imageio-ffmpeg</t>
        </is>
      </c>
      <c r="M27" s="27" t="inlineStr">
        <is>
          <t>Yes</t>
        </is>
      </c>
      <c r="N27" s="27" t="inlineStr">
        <is>
          <t>No</t>
        </is>
      </c>
      <c r="O27" s="27" t="inlineStr">
        <is>
          <t>2026-11-06 14:00</t>
        </is>
      </c>
      <c r="P27" s="27" t="inlineStr"/>
      <c r="Q27" s="27" t="inlineStr"/>
      <c r="R27" s="27" t="inlineStr"/>
      <c r="S27" s="27" t="inlineStr"/>
      <c r="T27" s="27" t="inlineStr">
        <is>
          <t>Ready</t>
        </is>
      </c>
      <c r="U27" s="27" t="inlineStr">
        <is>
          <t>target_metric=2800_impressions_3.5pct_engagement; hook_rationale=Classic high-performing thread hook signaling immediate tactical value.</t>
        </is>
      </c>
      <c r="V27" s="28">
        <f>IF(A27="","",IF(COUNTIF($A$5:$A$154,A27)&gt;1,"DUPLICATE","UNIQUE"))</f>
        <v/>
      </c>
      <c r="W27" s="28">
        <f>IF(A27="","",IF(T27="Rejected","REJECTED",IF(AND(B27&lt;&gt;"",C27&lt;&gt;"",D27&lt;&gt;"",E27&lt;&gt;"",F27&lt;&gt;"",G27&lt;&gt;"",H27&lt;&gt;"",I27&lt;&gt;"",J27&lt;&gt;"",M27&lt;&gt;"",O27&lt;&gt;"",T27&lt;&gt;""),"COMPLETE","MISSING FIELDS")))</f>
        <v/>
      </c>
    </row>
    <row r="28" ht="15" customHeight="1" s="15">
      <c r="A28" s="27" t="inlineStr">
        <is>
          <t>asset_24</t>
        </is>
      </c>
      <c r="B28" s="27" t="inlineStr">
        <is>
          <t>LinkedIn</t>
        </is>
      </c>
      <c r="C28" s="27" t="inlineStr">
        <is>
          <t>Text post</t>
        </is>
      </c>
      <c r="D28" s="27" t="inlineStr">
        <is>
          <t>P2_HOOKS</t>
        </is>
      </c>
      <c r="E28" s="27" t="inlineStr">
        <is>
          <t>The biggest lie in video editing is that viewers care about your 10-second intro.</t>
        </is>
      </c>
      <c r="F28" s="27" t="inlineStr">
        <is>
          <t>The biggest lie in video editing is that viewers care about your 10-second animated logo.
In short-form video, you have 1.5 seconds.
Not 5 seconds. Not 10 seconds.
If the viewer doesn't see a clear visual hook and dynamic text immediately, their thumb swipes up.
3 rules for hook retention:
1. State the pain point in the first 7 words
2. Light up the words dynamically as you speak them
3. Use high-contrast color highlights on key terms
Trim the fat. Respect the viewer's time.
#VideoRetention #ShortsHacks #LinkedInTips #CreatorEconomy #IncuBrix</t>
        </is>
      </c>
      <c r="G28" s="27" t="inlineStr">
        <is>
          <t>Style retention captions free at www.incubrix.com</t>
        </is>
      </c>
      <c r="H28" s="27" t="inlineStr">
        <is>
          <t>https://www.incubrix.com/?utm_source=linkedin&amp;utm_medium=text_post&amp;utm_campaign=creator_growth_engine_q4&amp;utm_content=asset_24</t>
        </is>
      </c>
      <c r="I28" s="27" t="inlineStr">
        <is>
          <t>submission/02_main_output/assets/linkedin/asset_24/asset_24.txt</t>
        </is>
      </c>
      <c r="J28" s="27" t="inlineStr">
        <is>
          <t>submission/02_main_output/assets/linkedin/asset_24/asset_24_source.json</t>
        </is>
      </c>
      <c r="K28" s="27" t="inlineStr">
        <is>
          <t>submission/03_engine/sample_inputs/anchor_podcast_episode.md</t>
        </is>
      </c>
      <c r="L28" s="27" t="inlineStr">
        <is>
          <t>IncuBrix Python Content Engine v1.0, Pillow, imageio-ffmpeg</t>
        </is>
      </c>
      <c r="M28" s="27" t="inlineStr">
        <is>
          <t>Yes</t>
        </is>
      </c>
      <c r="N28" s="27" t="inlineStr">
        <is>
          <t>No</t>
        </is>
      </c>
      <c r="O28" s="27" t="inlineStr">
        <is>
          <t>2026-11-08 08:30</t>
        </is>
      </c>
      <c r="P28" s="27" t="inlineStr"/>
      <c r="Q28" s="27" t="inlineStr"/>
      <c r="R28" s="27" t="inlineStr"/>
      <c r="S28" s="27" t="inlineStr"/>
      <c r="T28" s="27" t="inlineStr">
        <is>
          <t>Ready</t>
        </is>
      </c>
      <c r="U28" s="27" t="inlineStr">
        <is>
          <t>target_metric=4600_impressions_5.1pct_engagement; hook_rationale=Contrarian debunking of outdated video production habits.</t>
        </is>
      </c>
      <c r="V28" s="28">
        <f>IF(A28="","",IF(COUNTIF($A$5:$A$154,A28)&gt;1,"DUPLICATE","UNIQUE"))</f>
        <v/>
      </c>
      <c r="W28" s="28">
        <f>IF(A28="","",IF(T28="Rejected","REJECTED",IF(AND(B28&lt;&gt;"",C28&lt;&gt;"",D28&lt;&gt;"",E28&lt;&gt;"",F28&lt;&gt;"",G28&lt;&gt;"",H28&lt;&gt;"",I28&lt;&gt;"",J28&lt;&gt;"",M28&lt;&gt;"",O28&lt;&gt;"",T28&lt;&gt;""),"COMPLETE","MISSING FIELDS")))</f>
        <v/>
      </c>
    </row>
    <row r="29" ht="15" customHeight="1" s="15">
      <c r="A29" s="27" t="inlineStr">
        <is>
          <t>asset_25</t>
        </is>
      </c>
      <c r="B29" s="27" t="inlineStr">
        <is>
          <t>Threads</t>
        </is>
      </c>
      <c r="C29" s="27" t="inlineStr">
        <is>
          <t>Text post</t>
        </is>
      </c>
      <c r="D29" s="27" t="inlineStr">
        <is>
          <t>P5_FEATURE_PROOF</t>
        </is>
      </c>
      <c r="E29" s="27" t="inlineStr">
        <is>
          <t>If an AI tool requires a credit card just to test basic features, close the tab.</t>
        </is>
      </c>
      <c r="F29" s="27" t="inlineStr">
        <is>
          <t>If an AI tool requires a credit card just to test basic features, close the tab.
At IncuBrix, we believe creators should see their own recording transformed into 10 clips before spending a single dollar.
300 credits every month. Free. No credit card required.
#CreatorTools #TransparentSaaS #BuildInPublic #IncuBrix</t>
        </is>
      </c>
      <c r="G29" s="27" t="inlineStr">
        <is>
          <t>Test with 300 free credits at www.incubrix.com</t>
        </is>
      </c>
      <c r="H29" s="27" t="inlineStr">
        <is>
          <t>https://www.incubrix.com/?utm_source=threads&amp;utm_medium=text_post&amp;utm_campaign=creator_growth_engine_q4&amp;utm_content=asset_25</t>
        </is>
      </c>
      <c r="I29" s="27" t="inlineStr">
        <is>
          <t>submission/02_main_output/assets/threads/asset_25/asset_25.txt</t>
        </is>
      </c>
      <c r="J29" s="27" t="inlineStr">
        <is>
          <t>submission/02_main_output/assets/threads/asset_25/asset_25_source.json</t>
        </is>
      </c>
      <c r="K29" s="27" t="inlineStr">
        <is>
          <t>submission/03_engine/sample_inputs/anchor_podcast_episode.md</t>
        </is>
      </c>
      <c r="L29" s="27" t="inlineStr">
        <is>
          <t>IncuBrix Python Content Engine v1.0, Pillow, imageio-ffmpeg</t>
        </is>
      </c>
      <c r="M29" s="27" t="inlineStr">
        <is>
          <t>Yes</t>
        </is>
      </c>
      <c r="N29" s="27" t="inlineStr">
        <is>
          <t>No</t>
        </is>
      </c>
      <c r="O29" s="27" t="inlineStr">
        <is>
          <t>2026-11-10 12:15</t>
        </is>
      </c>
      <c r="P29" s="27" t="inlineStr"/>
      <c r="Q29" s="27" t="inlineStr"/>
      <c r="R29" s="27" t="inlineStr"/>
      <c r="S29" s="27" t="inlineStr"/>
      <c r="T29" s="27" t="inlineStr">
        <is>
          <t>Ready</t>
        </is>
      </c>
      <c r="U29" s="27" t="inlineStr">
        <is>
          <t>target_metric=2100_impressions_4.0pct_engagement; hook_rationale=Appeals to consumer protection and transparency values popular on Threads.</t>
        </is>
      </c>
      <c r="V29" s="28">
        <f>IF(A29="","",IF(COUNTIF($A$5:$A$154,A29)&gt;1,"DUPLICATE","UNIQUE"))</f>
        <v/>
      </c>
      <c r="W29" s="28">
        <f>IF(A29="","",IF(T29="Rejected","REJECTED",IF(AND(B29&lt;&gt;"",C29&lt;&gt;"",D29&lt;&gt;"",E29&lt;&gt;"",F29&lt;&gt;"",G29&lt;&gt;"",H29&lt;&gt;"",I29&lt;&gt;"",J29&lt;&gt;"",M29&lt;&gt;"",O29&lt;&gt;"",T29&lt;&gt;""),"COMPLETE","MISSING FIELDS")))</f>
        <v/>
      </c>
    </row>
    <row r="30" ht="15" customHeight="1" s="15">
      <c r="A30" s="27" t="inlineStr">
        <is>
          <t>asset_26</t>
        </is>
      </c>
      <c r="B30" s="27" t="inlineStr">
        <is>
          <t>LinkedIn</t>
        </is>
      </c>
      <c r="C30" s="27" t="inlineStr">
        <is>
          <t>Text post</t>
        </is>
      </c>
      <c r="D30" s="27" t="inlineStr">
        <is>
          <t>P1_WORKFLOW</t>
        </is>
      </c>
      <c r="E30" s="27" t="inlineStr">
        <is>
          <t>How our team turned a 30-minute founder AMA into 14 days of content.</t>
        </is>
      </c>
      <c r="F30" s="27" t="inlineStr">
        <is>
          <t>Last Tuesday, our team recorded a 30-minute founder AMA.
Here is what happened next:
1. Ingested the audio into IncuBrix Creator Studio
2. Highlighted 4 high-retention stories and deleted tangential rants
3. Exported 4 vertical video clips with burned-in karaoke captions
4. Created 2 LinkedIn carousel summaries
5. Scheduled the posts across LinkedIn and Instagram directly from the dashboard
Total time elapsed: 24 minutes.
Total cost: $0 (using free tier credits).
Stop working harder than your software.
#CaseStudy #WorkflowDesign #Productivity #IncuBrix #B2BGrowth</t>
        </is>
      </c>
      <c r="G30" s="27" t="inlineStr">
        <is>
          <t>Try the workflow on your next upload at www.incubrix.com</t>
        </is>
      </c>
      <c r="H30" s="27" t="inlineStr">
        <is>
          <t>https://www.incubrix.com/?utm_source=linkedin&amp;utm_medium=text_post&amp;utm_campaign=creator_growth_engine_q4&amp;utm_content=asset_26</t>
        </is>
      </c>
      <c r="I30" s="27" t="inlineStr">
        <is>
          <t>submission/02_main_output/assets/linkedin/asset_26/asset_26.txt</t>
        </is>
      </c>
      <c r="J30" s="27" t="inlineStr">
        <is>
          <t>submission/02_main_output/assets/linkedin/asset_26/asset_26_source.json</t>
        </is>
      </c>
      <c r="K30" s="27" t="inlineStr">
        <is>
          <t>submission/03_engine/sample_inputs/anchor_podcast_episode.md</t>
        </is>
      </c>
      <c r="L30" s="27" t="inlineStr">
        <is>
          <t>IncuBrix Python Content Engine v1.0, Pillow, imageio-ffmpeg</t>
        </is>
      </c>
      <c r="M30" s="27" t="inlineStr">
        <is>
          <t>Yes</t>
        </is>
      </c>
      <c r="N30" s="27" t="inlineStr">
        <is>
          <t>No</t>
        </is>
      </c>
      <c r="O30" s="27" t="inlineStr">
        <is>
          <t>2026-11-12 09:15</t>
        </is>
      </c>
      <c r="P30" s="27" t="inlineStr"/>
      <c r="Q30" s="27" t="inlineStr"/>
      <c r="R30" s="27" t="inlineStr"/>
      <c r="S30" s="27" t="inlineStr"/>
      <c r="T30" s="27" t="inlineStr">
        <is>
          <t>Ready</t>
        </is>
      </c>
      <c r="U30" s="27" t="inlineStr">
        <is>
          <t>target_metric=4400_impressions_4.8pct_engagement; hook_rationale=Specific case breakdown promising behind-the-scenes tactical mechanics.</t>
        </is>
      </c>
      <c r="V30" s="28">
        <f>IF(A30="","",IF(COUNTIF($A$5:$A$154,A30)&gt;1,"DUPLICATE","UNIQUE"))</f>
        <v/>
      </c>
      <c r="W30" s="28">
        <f>IF(A30="","",IF(T30="Rejected","REJECTED",IF(AND(B30&lt;&gt;"",C30&lt;&gt;"",D30&lt;&gt;"",E30&lt;&gt;"",F30&lt;&gt;"",G30&lt;&gt;"",H30&lt;&gt;"",I30&lt;&gt;"",J30&lt;&gt;"",M30&lt;&gt;"",O30&lt;&gt;"",T30&lt;&gt;""),"COMPLETE","MISSING FIELDS")))</f>
        <v/>
      </c>
    </row>
    <row r="31" ht="15" customHeight="1" s="15">
      <c r="A31" s="27" t="inlineStr">
        <is>
          <t>asset_27</t>
        </is>
      </c>
      <c r="B31" s="27" t="inlineStr">
        <is>
          <t>X</t>
        </is>
      </c>
      <c r="C31" s="27" t="inlineStr">
        <is>
          <t>Text post</t>
        </is>
      </c>
      <c r="D31" s="27" t="inlineStr">
        <is>
          <t>P2_HOOKS</t>
        </is>
      </c>
      <c r="E31" s="27" t="inlineStr">
        <is>
          <t>70% of viewers scroll on mute. If your video has no captions, you are invisible.</t>
        </is>
      </c>
      <c r="F31" s="27" t="inlineStr">
        <is>
          <t>70% of people on mobile scroll on mute.
If your video relies on audio to deliver the hook, you are invisible to the algorithm.
Word-by-word karaoke captions aren't an aesthetic choice.
They are your headline, your hook, and your retention insurance.
#VideoEditing #Shorts #CreatorTips #IncuBrix</t>
        </is>
      </c>
      <c r="G31" s="27" t="inlineStr">
        <is>
          <t>Generate animated captions free at www.incubrix.com</t>
        </is>
      </c>
      <c r="H31" s="27" t="inlineStr">
        <is>
          <t>https://www.incubrix.com/?utm_source=x&amp;utm_medium=text_post&amp;utm_campaign=creator_growth_engine_q4&amp;utm_content=asset_27</t>
        </is>
      </c>
      <c r="I31" s="27" t="inlineStr">
        <is>
          <t>submission/02_main_output/assets/x/asset_27/asset_27.txt</t>
        </is>
      </c>
      <c r="J31" s="27" t="inlineStr">
        <is>
          <t>submission/02_main_output/assets/x/asset_27/asset_27_source.json</t>
        </is>
      </c>
      <c r="K31" s="27" t="inlineStr">
        <is>
          <t>submission/03_engine/sample_inputs/anchor_podcast_episode.md</t>
        </is>
      </c>
      <c r="L31" s="27" t="inlineStr">
        <is>
          <t>IncuBrix Python Content Engine v1.0, Pillow, imageio-ffmpeg</t>
        </is>
      </c>
      <c r="M31" s="27" t="inlineStr">
        <is>
          <t>Yes</t>
        </is>
      </c>
      <c r="N31" s="27" t="inlineStr">
        <is>
          <t>No</t>
        </is>
      </c>
      <c r="O31" s="27" t="inlineStr">
        <is>
          <t>2026-11-14 11:00</t>
        </is>
      </c>
      <c r="P31" s="27" t="inlineStr"/>
      <c r="Q31" s="27" t="inlineStr"/>
      <c r="R31" s="27" t="inlineStr"/>
      <c r="S31" s="27" t="inlineStr"/>
      <c r="T31" s="27" t="inlineStr">
        <is>
          <t>Ready</t>
        </is>
      </c>
      <c r="U31" s="27" t="inlineStr">
        <is>
          <t>target_metric=2400_impressions_3.2pct_engagement; hook_rationale=Bold data assertion highlighting mobile consumer behavior.</t>
        </is>
      </c>
      <c r="V31" s="28">
        <f>IF(A31="","",IF(COUNTIF($A$5:$A$154,A31)&gt;1,"DUPLICATE","UNIQUE"))</f>
        <v/>
      </c>
      <c r="W31" s="28">
        <f>IF(A31="","",IF(T31="Rejected","REJECTED",IF(AND(B31&lt;&gt;"",C31&lt;&gt;"",D31&lt;&gt;"",E31&lt;&gt;"",F31&lt;&gt;"",G31&lt;&gt;"",H31&lt;&gt;"",I31&lt;&gt;"",J31&lt;&gt;"",M31&lt;&gt;"",O31&lt;&gt;"",T31&lt;&gt;""),"COMPLETE","MISSING FIELDS")))</f>
        <v/>
      </c>
    </row>
    <row r="32" ht="15" customHeight="1" s="15">
      <c r="A32" s="27" t="inlineStr">
        <is>
          <t>asset_28</t>
        </is>
      </c>
      <c r="B32" s="27" t="inlineStr">
        <is>
          <t>LinkedIn</t>
        </is>
      </c>
      <c r="C32" s="27" t="inlineStr">
        <is>
          <t>Text post</t>
        </is>
      </c>
      <c r="D32" s="27" t="inlineStr">
        <is>
          <t>P4_CREATOR_OPS</t>
        </is>
      </c>
      <c r="E32" s="27" t="inlineStr">
        <is>
          <t>Your back catalog of episodes is a goldmine you're ignoring.</t>
        </is>
      </c>
      <c r="F32" s="27" t="inlineStr">
        <is>
          <t>Every podcaster has 20+ past episodes sitting in an archive gathering dust.
Those 20 recordings contain:
- 60+ potential Shorts and Reels
- 20+ LinkedIn carousels
- 40+ high-signal quote cards
You don't need new ideas this week.
You need to unlock the archive with automated repurposing.
Put your back catalog to work.
#Podcasting #ContentRepurposing #CreatorEconomy #IncuBrix</t>
        </is>
      </c>
      <c r="G32" s="27" t="inlineStr">
        <is>
          <t>Repurpose your archive with 300 free credits at www.incubrix.com</t>
        </is>
      </c>
      <c r="H32" s="27" t="inlineStr">
        <is>
          <t>https://www.incubrix.com/?utm_source=linkedin&amp;utm_medium=text_post&amp;utm_campaign=creator_growth_engine_q4&amp;utm_content=asset_28</t>
        </is>
      </c>
      <c r="I32" s="27" t="inlineStr">
        <is>
          <t>submission/02_main_output/assets/linkedin/asset_28/asset_28.txt</t>
        </is>
      </c>
      <c r="J32" s="27" t="inlineStr">
        <is>
          <t>submission/02_main_output/assets/linkedin/asset_28/asset_28_source.json</t>
        </is>
      </c>
      <c r="K32" s="27" t="inlineStr">
        <is>
          <t>submission/03_engine/sample_inputs/anchor_podcast_episode.md</t>
        </is>
      </c>
      <c r="L32" s="27" t="inlineStr">
        <is>
          <t>IncuBrix Python Content Engine v1.0, Pillow, imageio-ffmpeg</t>
        </is>
      </c>
      <c r="M32" s="27" t="inlineStr">
        <is>
          <t>Yes</t>
        </is>
      </c>
      <c r="N32" s="27" t="inlineStr">
        <is>
          <t>No</t>
        </is>
      </c>
      <c r="O32" s="27" t="inlineStr">
        <is>
          <t>2026-11-16 08:30</t>
        </is>
      </c>
      <c r="P32" s="27" t="inlineStr"/>
      <c r="Q32" s="27" t="inlineStr"/>
      <c r="R32" s="27" t="inlineStr"/>
      <c r="S32" s="27" t="inlineStr"/>
      <c r="T32" s="27" t="inlineStr">
        <is>
          <t>Ready</t>
        </is>
      </c>
      <c r="U32" s="27" t="inlineStr">
        <is>
          <t>target_metric=3700_impressions_4.3pct_engagement; hook_rationale=High leverage idea: unlocking value from existing past recordings.</t>
        </is>
      </c>
      <c r="V32" s="28">
        <f>IF(A32="","",IF(COUNTIF($A$5:$A$154,A32)&gt;1,"DUPLICATE","UNIQUE"))</f>
        <v/>
      </c>
      <c r="W32" s="28">
        <f>IF(A32="","",IF(T32="Rejected","REJECTED",IF(AND(B32&lt;&gt;"",C32&lt;&gt;"",D32&lt;&gt;"",E32&lt;&gt;"",F32&lt;&gt;"",G32&lt;&gt;"",H32&lt;&gt;"",I32&lt;&gt;"",J32&lt;&gt;"",M32&lt;&gt;"",O32&lt;&gt;"",T32&lt;&gt;""),"COMPLETE","MISSING FIELDS")))</f>
        <v/>
      </c>
    </row>
    <row r="33" ht="15" customHeight="1" s="15">
      <c r="A33" s="27" t="inlineStr">
        <is>
          <t>asset_29</t>
        </is>
      </c>
      <c r="B33" s="27" t="inlineStr">
        <is>
          <t>Threads</t>
        </is>
      </c>
      <c r="C33" s="27" t="inlineStr">
        <is>
          <t>Text post</t>
        </is>
      </c>
      <c r="D33" s="27" t="inlineStr">
        <is>
          <t>P1_WORKFLOW</t>
        </is>
      </c>
      <c r="E33" s="27" t="inlineStr">
        <is>
          <t>Text-based video editing is the biggest leap in creator tooling since digital audio.</t>
        </is>
      </c>
      <c r="F33" s="27" t="inlineStr">
        <is>
          <t>Imagine having to edit text by listening to millisecond audio frequencies.
That is how video editing has worked for 30 years.
Deleting text to cut video is how software should have worked from day one.
#CreatorTools #VideoTech #IncuBrix #BuildInPublic</t>
        </is>
      </c>
      <c r="G33" s="27" t="inlineStr">
        <is>
          <t>Try text-based video cuts at www.incubrix.com</t>
        </is>
      </c>
      <c r="H33" s="27" t="inlineStr">
        <is>
          <t>https://www.incubrix.com/?utm_source=threads&amp;utm_medium=text_post&amp;utm_campaign=creator_growth_engine_q4&amp;utm_content=asset_29</t>
        </is>
      </c>
      <c r="I33" s="27" t="inlineStr">
        <is>
          <t>submission/02_main_output/assets/threads/asset_29/asset_29.txt</t>
        </is>
      </c>
      <c r="J33" s="27" t="inlineStr">
        <is>
          <t>submission/02_main_output/assets/threads/asset_29/asset_29_source.json</t>
        </is>
      </c>
      <c r="K33" s="27" t="inlineStr">
        <is>
          <t>submission/03_engine/sample_inputs/anchor_podcast_episode.md</t>
        </is>
      </c>
      <c r="L33" s="27" t="inlineStr">
        <is>
          <t>IncuBrix Python Content Engine v1.0, Pillow, imageio-ffmpeg</t>
        </is>
      </c>
      <c r="M33" s="27" t="inlineStr">
        <is>
          <t>Yes</t>
        </is>
      </c>
      <c r="N33" s="27" t="inlineStr">
        <is>
          <t>No</t>
        </is>
      </c>
      <c r="O33" s="27" t="inlineStr">
        <is>
          <t>2026-11-18 13:15</t>
        </is>
      </c>
      <c r="P33" s="27" t="inlineStr"/>
      <c r="Q33" s="27" t="inlineStr"/>
      <c r="R33" s="27" t="inlineStr"/>
      <c r="S33" s="27" t="inlineStr"/>
      <c r="T33" s="27" t="inlineStr">
        <is>
          <t>Ready</t>
        </is>
      </c>
      <c r="U33" s="27" t="inlineStr">
        <is>
          <t>target_metric=1900_impressions_3.8pct_engagement; hook_rationale=Strong technology evolution angle drawing an analogy to major industry shifts.</t>
        </is>
      </c>
      <c r="V33" s="28">
        <f>IF(A33="","",IF(COUNTIF($A$5:$A$154,A33)&gt;1,"DUPLICATE","UNIQUE"))</f>
        <v/>
      </c>
      <c r="W33" s="28">
        <f>IF(A33="","",IF(T33="Rejected","REJECTED",IF(AND(B33&lt;&gt;"",C33&lt;&gt;"",D33&lt;&gt;"",E33&lt;&gt;"",F33&lt;&gt;"",G33&lt;&gt;"",H33&lt;&gt;"",I33&lt;&gt;"",J33&lt;&gt;"",M33&lt;&gt;"",O33&lt;&gt;"",T33&lt;&gt;""),"COMPLETE","MISSING FIELDS")))</f>
        <v/>
      </c>
    </row>
    <row r="34" ht="15" customHeight="1" s="15">
      <c r="A34" s="27" t="inlineStr">
        <is>
          <t>asset_30</t>
        </is>
      </c>
      <c r="B34" s="27" t="inlineStr">
        <is>
          <t>LinkedIn</t>
        </is>
      </c>
      <c r="C34" s="27" t="inlineStr">
        <is>
          <t>Text post</t>
        </is>
      </c>
      <c r="D34" s="27" t="inlineStr">
        <is>
          <t>P5_FEATURE_PROOF</t>
        </is>
      </c>
      <c r="E34" s="27" t="inlineStr">
        <is>
          <t>We built IncuBrix for creators who love creating but hate the admin.</t>
        </is>
      </c>
      <c r="F34" s="27" t="inlineStr">
        <is>
          <t>We built IncuBrix for creators who love sharing insights but hate spending 5 hours doing manual file conversions and tab juggling.
Our philosophy is simple:
You make the content. IncuBrix makes it travel.
From trending topic insights, to text-based video editing, to multi-platform publishing—we are building the operating system for the global creator economy.
Join thousands of creators building their audience on their own terms.
#IncuBrix #CreatorEconomy #StartupStory #BuildingInPublic #Growth</t>
        </is>
      </c>
      <c r="G34" s="27" t="inlineStr">
        <is>
          <t>Start free today at www.incubrix.com (300 monthly credits, no card required)</t>
        </is>
      </c>
      <c r="H34" s="27" t="inlineStr">
        <is>
          <t>https://www.incubrix.com/?utm_source=linkedin&amp;utm_medium=text_post&amp;utm_campaign=creator_growth_engine_q4&amp;utm_content=asset_30</t>
        </is>
      </c>
      <c r="I34" s="27" t="inlineStr">
        <is>
          <t>submission/02_main_output/assets/linkedin/asset_30/asset_30.txt</t>
        </is>
      </c>
      <c r="J34" s="27" t="inlineStr">
        <is>
          <t>submission/02_main_output/assets/linkedin/asset_30/asset_30_source.json</t>
        </is>
      </c>
      <c r="K34" s="27" t="inlineStr">
        <is>
          <t>submission/03_engine/sample_inputs/anchor_podcast_episode.md</t>
        </is>
      </c>
      <c r="L34" s="27" t="inlineStr">
        <is>
          <t>IncuBrix Python Content Engine v1.0, Pillow, imageio-ffmpeg</t>
        </is>
      </c>
      <c r="M34" s="27" t="inlineStr">
        <is>
          <t>Yes</t>
        </is>
      </c>
      <c r="N34" s="27" t="inlineStr">
        <is>
          <t>No</t>
        </is>
      </c>
      <c r="O34" s="27" t="inlineStr">
        <is>
          <t>2026-11-20 09:00</t>
        </is>
      </c>
      <c r="P34" s="27" t="inlineStr"/>
      <c r="Q34" s="27" t="inlineStr"/>
      <c r="R34" s="27" t="inlineStr"/>
      <c r="S34" s="27" t="inlineStr"/>
      <c r="T34" s="27" t="inlineStr">
        <is>
          <t>Ready</t>
        </is>
      </c>
      <c r="U34" s="27" t="inlineStr">
        <is>
          <t>target_metric=4800_impressions_5.5pct_engagement; hook_rationale=Authentic brand manifesto hook directly citing verified company mission.</t>
        </is>
      </c>
      <c r="V34" s="28">
        <f>IF(A34="","",IF(COUNTIF($A$5:$A$154,A34)&gt;1,"DUPLICATE","UNIQUE"))</f>
        <v/>
      </c>
      <c r="W34" s="28">
        <f>IF(A34="","",IF(T34="Rejected","REJECTED",IF(AND(B34&lt;&gt;"",C34&lt;&gt;"",D34&lt;&gt;"",E34&lt;&gt;"",F34&lt;&gt;"",G34&lt;&gt;"",H34&lt;&gt;"",I34&lt;&gt;"",J34&lt;&gt;"",M34&lt;&gt;"",O34&lt;&gt;"",T34&lt;&gt;""),"COMPLETE","MISSING FIELDS")))</f>
        <v/>
      </c>
    </row>
    <row r="35" ht="15" customHeight="1" s="15">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8">
        <f>IF(A35="","",IF(COUNTIF($A$5:$A$154,A35)&gt;1,"DUPLICATE","UNIQUE"))</f>
        <v/>
      </c>
      <c r="W35" s="28">
        <f>IF(A35="","",IF(T35="Rejected","REJECTED",IF(AND(B35&lt;&gt;"",C35&lt;&gt;"",D35&lt;&gt;"",E35&lt;&gt;"",F35&lt;&gt;"",G35&lt;&gt;"",H35&lt;&gt;"",I35&lt;&gt;"",J35&lt;&gt;"",M35&lt;&gt;"",O35&lt;&gt;"",T35&lt;&gt;""),"COMPLETE","MISSING FIELDS")))</f>
        <v/>
      </c>
    </row>
    <row r="36" ht="15" customHeight="1" s="15">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8">
        <f>IF(A36="","",IF(COUNTIF($A$5:$A$154,A36)&gt;1,"DUPLICATE","UNIQUE"))</f>
        <v/>
      </c>
      <c r="W36" s="28">
        <f>IF(A36="","",IF(T36="Rejected","REJECTED",IF(AND(B36&lt;&gt;"",C36&lt;&gt;"",D36&lt;&gt;"",E36&lt;&gt;"",F36&lt;&gt;"",G36&lt;&gt;"",H36&lt;&gt;"",I36&lt;&gt;"",J36&lt;&gt;"",M36&lt;&gt;"",O36&lt;&gt;"",T36&lt;&gt;""),"COMPLETE","MISSING FIELDS")))</f>
        <v/>
      </c>
    </row>
    <row r="37" ht="15" customHeight="1" s="15">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8">
        <f>IF(A37="","",IF(COUNTIF($A$5:$A$154,A37)&gt;1,"DUPLICATE","UNIQUE"))</f>
        <v/>
      </c>
      <c r="W37" s="28">
        <f>IF(A37="","",IF(T37="Rejected","REJECTED",IF(AND(B37&lt;&gt;"",C37&lt;&gt;"",D37&lt;&gt;"",E37&lt;&gt;"",F37&lt;&gt;"",G37&lt;&gt;"",H37&lt;&gt;"",I37&lt;&gt;"",J37&lt;&gt;"",M37&lt;&gt;"",O37&lt;&gt;"",T37&lt;&gt;""),"COMPLETE","MISSING FIELDS")))</f>
        <v/>
      </c>
    </row>
    <row r="38" ht="15" customHeight="1" s="15">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8">
        <f>IF(A38="","",IF(COUNTIF($A$5:$A$154,A38)&gt;1,"DUPLICATE","UNIQUE"))</f>
        <v/>
      </c>
      <c r="W38" s="28">
        <f>IF(A38="","",IF(T38="Rejected","REJECTED",IF(AND(B38&lt;&gt;"",C38&lt;&gt;"",D38&lt;&gt;"",E38&lt;&gt;"",F38&lt;&gt;"",G38&lt;&gt;"",H38&lt;&gt;"",I38&lt;&gt;"",J38&lt;&gt;"",M38&lt;&gt;"",O38&lt;&gt;"",T38&lt;&gt;""),"COMPLETE","MISSING FIELDS")))</f>
        <v/>
      </c>
    </row>
    <row r="39" ht="15" customHeight="1" s="15">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8">
        <f>IF(A39="","",IF(COUNTIF($A$5:$A$154,A39)&gt;1,"DUPLICATE","UNIQUE"))</f>
        <v/>
      </c>
      <c r="W39" s="28">
        <f>IF(A39="","",IF(T39="Rejected","REJECTED",IF(AND(B39&lt;&gt;"",C39&lt;&gt;"",D39&lt;&gt;"",E39&lt;&gt;"",F39&lt;&gt;"",G39&lt;&gt;"",H39&lt;&gt;"",I39&lt;&gt;"",J39&lt;&gt;"",M39&lt;&gt;"",O39&lt;&gt;"",T39&lt;&gt;""),"COMPLETE","MISSING FIELDS")))</f>
        <v/>
      </c>
    </row>
    <row r="40" ht="15" customHeight="1" s="15">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8">
        <f>IF(A40="","",IF(COUNTIF($A$5:$A$154,A40)&gt;1,"DUPLICATE","UNIQUE"))</f>
        <v/>
      </c>
      <c r="W40" s="28">
        <f>IF(A40="","",IF(T40="Rejected","REJECTED",IF(AND(B40&lt;&gt;"",C40&lt;&gt;"",D40&lt;&gt;"",E40&lt;&gt;"",F40&lt;&gt;"",G40&lt;&gt;"",H40&lt;&gt;"",I40&lt;&gt;"",J40&lt;&gt;"",M40&lt;&gt;"",O40&lt;&gt;"",T40&lt;&gt;""),"COMPLETE","MISSING FIELDS")))</f>
        <v/>
      </c>
    </row>
    <row r="41" ht="15" customHeight="1" s="15">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8">
        <f>IF(A41="","",IF(COUNTIF($A$5:$A$154,A41)&gt;1,"DUPLICATE","UNIQUE"))</f>
        <v/>
      </c>
      <c r="W41" s="28">
        <f>IF(A41="","",IF(T41="Rejected","REJECTED",IF(AND(B41&lt;&gt;"",C41&lt;&gt;"",D41&lt;&gt;"",E41&lt;&gt;"",F41&lt;&gt;"",G41&lt;&gt;"",H41&lt;&gt;"",I41&lt;&gt;"",J41&lt;&gt;"",M41&lt;&gt;"",O41&lt;&gt;"",T41&lt;&gt;""),"COMPLETE","MISSING FIELDS")))</f>
        <v/>
      </c>
    </row>
    <row r="42" ht="15" customHeight="1" s="15">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8">
        <f>IF(A42="","",IF(COUNTIF($A$5:$A$154,A42)&gt;1,"DUPLICATE","UNIQUE"))</f>
        <v/>
      </c>
      <c r="W42" s="28">
        <f>IF(A42="","",IF(T42="Rejected","REJECTED",IF(AND(B42&lt;&gt;"",C42&lt;&gt;"",D42&lt;&gt;"",E42&lt;&gt;"",F42&lt;&gt;"",G42&lt;&gt;"",H42&lt;&gt;"",I42&lt;&gt;"",J42&lt;&gt;"",M42&lt;&gt;"",O42&lt;&gt;"",T42&lt;&gt;""),"COMPLETE","MISSING FIELDS")))</f>
        <v/>
      </c>
    </row>
    <row r="43" ht="15" customHeight="1" s="15">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8">
        <f>IF(A43="","",IF(COUNTIF($A$5:$A$154,A43)&gt;1,"DUPLICATE","UNIQUE"))</f>
        <v/>
      </c>
      <c r="W43" s="28">
        <f>IF(A43="","",IF(T43="Rejected","REJECTED",IF(AND(B43&lt;&gt;"",C43&lt;&gt;"",D43&lt;&gt;"",E43&lt;&gt;"",F43&lt;&gt;"",G43&lt;&gt;"",H43&lt;&gt;"",I43&lt;&gt;"",J43&lt;&gt;"",M43&lt;&gt;"",O43&lt;&gt;"",T43&lt;&gt;""),"COMPLETE","MISSING FIELDS")))</f>
        <v/>
      </c>
    </row>
    <row r="44" ht="15" customHeight="1" s="15">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8">
        <f>IF(A44="","",IF(COUNTIF($A$5:$A$154,A44)&gt;1,"DUPLICATE","UNIQUE"))</f>
        <v/>
      </c>
      <c r="W44" s="28">
        <f>IF(A44="","",IF(T44="Rejected","REJECTED",IF(AND(B44&lt;&gt;"",C44&lt;&gt;"",D44&lt;&gt;"",E44&lt;&gt;"",F44&lt;&gt;"",G44&lt;&gt;"",H44&lt;&gt;"",I44&lt;&gt;"",J44&lt;&gt;"",M44&lt;&gt;"",O44&lt;&gt;"",T44&lt;&gt;""),"COMPLETE","MISSING FIELDS")))</f>
        <v/>
      </c>
    </row>
    <row r="45" ht="15" customHeight="1" s="15">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8">
        <f>IF(A45="","",IF(COUNTIF($A$5:$A$154,A45)&gt;1,"DUPLICATE","UNIQUE"))</f>
        <v/>
      </c>
      <c r="W45" s="28">
        <f>IF(A45="","",IF(T45="Rejected","REJECTED",IF(AND(B45&lt;&gt;"",C45&lt;&gt;"",D45&lt;&gt;"",E45&lt;&gt;"",F45&lt;&gt;"",G45&lt;&gt;"",H45&lt;&gt;"",I45&lt;&gt;"",J45&lt;&gt;"",M45&lt;&gt;"",O45&lt;&gt;"",T45&lt;&gt;""),"COMPLETE","MISSING FIELDS")))</f>
        <v/>
      </c>
    </row>
    <row r="46" ht="15" customHeight="1" s="15">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8">
        <f>IF(A46="","",IF(COUNTIF($A$5:$A$154,A46)&gt;1,"DUPLICATE","UNIQUE"))</f>
        <v/>
      </c>
      <c r="W46" s="28">
        <f>IF(A46="","",IF(T46="Rejected","REJECTED",IF(AND(B46&lt;&gt;"",C46&lt;&gt;"",D46&lt;&gt;"",E46&lt;&gt;"",F46&lt;&gt;"",G46&lt;&gt;"",H46&lt;&gt;"",I46&lt;&gt;"",J46&lt;&gt;"",M46&lt;&gt;"",O46&lt;&gt;"",T46&lt;&gt;""),"COMPLETE","MISSING FIELDS")))</f>
        <v/>
      </c>
    </row>
    <row r="47" ht="15" customHeight="1" s="15">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8">
        <f>IF(A47="","",IF(COUNTIF($A$5:$A$154,A47)&gt;1,"DUPLICATE","UNIQUE"))</f>
        <v/>
      </c>
      <c r="W47" s="28">
        <f>IF(A47="","",IF(T47="Rejected","REJECTED",IF(AND(B47&lt;&gt;"",C47&lt;&gt;"",D47&lt;&gt;"",E47&lt;&gt;"",F47&lt;&gt;"",G47&lt;&gt;"",H47&lt;&gt;"",I47&lt;&gt;"",J47&lt;&gt;"",M47&lt;&gt;"",O47&lt;&gt;"",T47&lt;&gt;""),"COMPLETE","MISSING FIELDS")))</f>
        <v/>
      </c>
    </row>
    <row r="48" ht="15" customHeight="1" s="15">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8">
        <f>IF(A48="","",IF(COUNTIF($A$5:$A$154,A48)&gt;1,"DUPLICATE","UNIQUE"))</f>
        <v/>
      </c>
      <c r="W48" s="28">
        <f>IF(A48="","",IF(T48="Rejected","REJECTED",IF(AND(B48&lt;&gt;"",C48&lt;&gt;"",D48&lt;&gt;"",E48&lt;&gt;"",F48&lt;&gt;"",G48&lt;&gt;"",H48&lt;&gt;"",I48&lt;&gt;"",J48&lt;&gt;"",M48&lt;&gt;"",O48&lt;&gt;"",T48&lt;&gt;""),"COMPLETE","MISSING FIELDS")))</f>
        <v/>
      </c>
    </row>
    <row r="49" ht="15" customHeight="1" s="15">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8">
        <f>IF(A49="","",IF(COUNTIF($A$5:$A$154,A49)&gt;1,"DUPLICATE","UNIQUE"))</f>
        <v/>
      </c>
      <c r="W49" s="28">
        <f>IF(A49="","",IF(T49="Rejected","REJECTED",IF(AND(B49&lt;&gt;"",C49&lt;&gt;"",D49&lt;&gt;"",E49&lt;&gt;"",F49&lt;&gt;"",G49&lt;&gt;"",H49&lt;&gt;"",I49&lt;&gt;"",J49&lt;&gt;"",M49&lt;&gt;"",O49&lt;&gt;"",T49&lt;&gt;""),"COMPLETE","MISSING FIELDS")))</f>
        <v/>
      </c>
    </row>
    <row r="50" ht="15" customHeight="1" s="15">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8">
        <f>IF(A50="","",IF(COUNTIF($A$5:$A$154,A50)&gt;1,"DUPLICATE","UNIQUE"))</f>
        <v/>
      </c>
      <c r="W50" s="28">
        <f>IF(A50="","",IF(T50="Rejected","REJECTED",IF(AND(B50&lt;&gt;"",C50&lt;&gt;"",D50&lt;&gt;"",E50&lt;&gt;"",F50&lt;&gt;"",G50&lt;&gt;"",H50&lt;&gt;"",I50&lt;&gt;"",J50&lt;&gt;"",M50&lt;&gt;"",O50&lt;&gt;"",T50&lt;&gt;""),"COMPLETE","MISSING FIELDS")))</f>
        <v/>
      </c>
    </row>
    <row r="51" ht="15" customHeight="1" s="15">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8">
        <f>IF(A51="","",IF(COUNTIF($A$5:$A$154,A51)&gt;1,"DUPLICATE","UNIQUE"))</f>
        <v/>
      </c>
      <c r="W51" s="28">
        <f>IF(A51="","",IF(T51="Rejected","REJECTED",IF(AND(B51&lt;&gt;"",C51&lt;&gt;"",D51&lt;&gt;"",E51&lt;&gt;"",F51&lt;&gt;"",G51&lt;&gt;"",H51&lt;&gt;"",I51&lt;&gt;"",J51&lt;&gt;"",M51&lt;&gt;"",O51&lt;&gt;"",T51&lt;&gt;""),"COMPLETE","MISSING FIELDS")))</f>
        <v/>
      </c>
    </row>
    <row r="52" ht="15" customHeight="1" s="15">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8">
        <f>IF(A52="","",IF(COUNTIF($A$5:$A$154,A52)&gt;1,"DUPLICATE","UNIQUE"))</f>
        <v/>
      </c>
      <c r="W52" s="28">
        <f>IF(A52="","",IF(T52="Rejected","REJECTED",IF(AND(B52&lt;&gt;"",C52&lt;&gt;"",D52&lt;&gt;"",E52&lt;&gt;"",F52&lt;&gt;"",G52&lt;&gt;"",H52&lt;&gt;"",I52&lt;&gt;"",J52&lt;&gt;"",M52&lt;&gt;"",O52&lt;&gt;"",T52&lt;&gt;""),"COMPLETE","MISSING FIELDS")))</f>
        <v/>
      </c>
    </row>
    <row r="53" ht="15" customHeight="1" s="15">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8">
        <f>IF(A53="","",IF(COUNTIF($A$5:$A$154,A53)&gt;1,"DUPLICATE","UNIQUE"))</f>
        <v/>
      </c>
      <c r="W53" s="28">
        <f>IF(A53="","",IF(T53="Rejected","REJECTED",IF(AND(B53&lt;&gt;"",C53&lt;&gt;"",D53&lt;&gt;"",E53&lt;&gt;"",F53&lt;&gt;"",G53&lt;&gt;"",H53&lt;&gt;"",I53&lt;&gt;"",J53&lt;&gt;"",M53&lt;&gt;"",O53&lt;&gt;"",T53&lt;&gt;""),"COMPLETE","MISSING FIELDS")))</f>
        <v/>
      </c>
    </row>
    <row r="54" ht="15" customHeight="1" s="15">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8">
        <f>IF(A54="","",IF(COUNTIF($A$5:$A$154,A54)&gt;1,"DUPLICATE","UNIQUE"))</f>
        <v/>
      </c>
      <c r="W54" s="28">
        <f>IF(A54="","",IF(T54="Rejected","REJECTED",IF(AND(B54&lt;&gt;"",C54&lt;&gt;"",D54&lt;&gt;"",E54&lt;&gt;"",F54&lt;&gt;"",G54&lt;&gt;"",H54&lt;&gt;"",I54&lt;&gt;"",J54&lt;&gt;"",M54&lt;&gt;"",O54&lt;&gt;"",T54&lt;&gt;""),"COMPLETE","MISSING FIELDS")))</f>
        <v/>
      </c>
    </row>
    <row r="55" ht="15" customHeight="1" s="15">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8">
        <f>IF(A55="","",IF(COUNTIF($A$5:$A$154,A55)&gt;1,"DUPLICATE","UNIQUE"))</f>
        <v/>
      </c>
      <c r="W55" s="28">
        <f>IF(A55="","",IF(T55="Rejected","REJECTED",IF(AND(B55&lt;&gt;"",C55&lt;&gt;"",D55&lt;&gt;"",E55&lt;&gt;"",F55&lt;&gt;"",G55&lt;&gt;"",H55&lt;&gt;"",I55&lt;&gt;"",J55&lt;&gt;"",M55&lt;&gt;"",O55&lt;&gt;"",T55&lt;&gt;""),"COMPLETE","MISSING FIELDS")))</f>
        <v/>
      </c>
    </row>
    <row r="56" ht="15" customHeight="1" s="15">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8">
        <f>IF(A56="","",IF(COUNTIF($A$5:$A$154,A56)&gt;1,"DUPLICATE","UNIQUE"))</f>
        <v/>
      </c>
      <c r="W56" s="28">
        <f>IF(A56="","",IF(T56="Rejected","REJECTED",IF(AND(B56&lt;&gt;"",C56&lt;&gt;"",D56&lt;&gt;"",E56&lt;&gt;"",F56&lt;&gt;"",G56&lt;&gt;"",H56&lt;&gt;"",I56&lt;&gt;"",J56&lt;&gt;"",M56&lt;&gt;"",O56&lt;&gt;"",T56&lt;&gt;""),"COMPLETE","MISSING FIELDS")))</f>
        <v/>
      </c>
    </row>
    <row r="57" ht="15" customHeight="1" s="15">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8">
        <f>IF(A57="","",IF(COUNTIF($A$5:$A$154,A57)&gt;1,"DUPLICATE","UNIQUE"))</f>
        <v/>
      </c>
      <c r="W57" s="28">
        <f>IF(A57="","",IF(T57="Rejected","REJECTED",IF(AND(B57&lt;&gt;"",C57&lt;&gt;"",D57&lt;&gt;"",E57&lt;&gt;"",F57&lt;&gt;"",G57&lt;&gt;"",H57&lt;&gt;"",I57&lt;&gt;"",J57&lt;&gt;"",M57&lt;&gt;"",O57&lt;&gt;"",T57&lt;&gt;""),"COMPLETE","MISSING FIELDS")))</f>
        <v/>
      </c>
    </row>
    <row r="58" ht="15" customHeight="1" s="15">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8">
        <f>IF(A58="","",IF(COUNTIF($A$5:$A$154,A58)&gt;1,"DUPLICATE","UNIQUE"))</f>
        <v/>
      </c>
      <c r="W58" s="28">
        <f>IF(A58="","",IF(T58="Rejected","REJECTED",IF(AND(B58&lt;&gt;"",C58&lt;&gt;"",D58&lt;&gt;"",E58&lt;&gt;"",F58&lt;&gt;"",G58&lt;&gt;"",H58&lt;&gt;"",I58&lt;&gt;"",J58&lt;&gt;"",M58&lt;&gt;"",O58&lt;&gt;"",T58&lt;&gt;""),"COMPLETE","MISSING FIELDS")))</f>
        <v/>
      </c>
    </row>
    <row r="59" ht="15" customHeight="1" s="15">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8">
        <f>IF(A59="","",IF(COUNTIF($A$5:$A$154,A59)&gt;1,"DUPLICATE","UNIQUE"))</f>
        <v/>
      </c>
      <c r="W59" s="28">
        <f>IF(A59="","",IF(T59="Rejected","REJECTED",IF(AND(B59&lt;&gt;"",C59&lt;&gt;"",D59&lt;&gt;"",E59&lt;&gt;"",F59&lt;&gt;"",G59&lt;&gt;"",H59&lt;&gt;"",I59&lt;&gt;"",J59&lt;&gt;"",M59&lt;&gt;"",O59&lt;&gt;"",T59&lt;&gt;""),"COMPLETE","MISSING FIELDS")))</f>
        <v/>
      </c>
    </row>
    <row r="60" ht="15" customHeight="1" s="15">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8">
        <f>IF(A60="","",IF(COUNTIF($A$5:$A$154,A60)&gt;1,"DUPLICATE","UNIQUE"))</f>
        <v/>
      </c>
      <c r="W60" s="28">
        <f>IF(A60="","",IF(T60="Rejected","REJECTED",IF(AND(B60&lt;&gt;"",C60&lt;&gt;"",D60&lt;&gt;"",E60&lt;&gt;"",F60&lt;&gt;"",G60&lt;&gt;"",H60&lt;&gt;"",I60&lt;&gt;"",J60&lt;&gt;"",M60&lt;&gt;"",O60&lt;&gt;"",T60&lt;&gt;""),"COMPLETE","MISSING FIELDS")))</f>
        <v/>
      </c>
    </row>
    <row r="61" ht="15" customHeight="1" s="15">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8">
        <f>IF(A61="","",IF(COUNTIF($A$5:$A$154,A61)&gt;1,"DUPLICATE","UNIQUE"))</f>
        <v/>
      </c>
      <c r="W61" s="28">
        <f>IF(A61="","",IF(T61="Rejected","REJECTED",IF(AND(B61&lt;&gt;"",C61&lt;&gt;"",D61&lt;&gt;"",E61&lt;&gt;"",F61&lt;&gt;"",G61&lt;&gt;"",H61&lt;&gt;"",I61&lt;&gt;"",J61&lt;&gt;"",M61&lt;&gt;"",O61&lt;&gt;"",T61&lt;&gt;""),"COMPLETE","MISSING FIELDS")))</f>
        <v/>
      </c>
    </row>
    <row r="62" ht="15" customHeight="1" s="15">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8">
        <f>IF(A62="","",IF(COUNTIF($A$5:$A$154,A62)&gt;1,"DUPLICATE","UNIQUE"))</f>
        <v/>
      </c>
      <c r="W62" s="28">
        <f>IF(A62="","",IF(T62="Rejected","REJECTED",IF(AND(B62&lt;&gt;"",C62&lt;&gt;"",D62&lt;&gt;"",E62&lt;&gt;"",F62&lt;&gt;"",G62&lt;&gt;"",H62&lt;&gt;"",I62&lt;&gt;"",J62&lt;&gt;"",M62&lt;&gt;"",O62&lt;&gt;"",T62&lt;&gt;""),"COMPLETE","MISSING FIELDS")))</f>
        <v/>
      </c>
    </row>
    <row r="63" ht="15" customHeight="1" s="15">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8">
        <f>IF(A63="","",IF(COUNTIF($A$5:$A$154,A63)&gt;1,"DUPLICATE","UNIQUE"))</f>
        <v/>
      </c>
      <c r="W63" s="28">
        <f>IF(A63="","",IF(T63="Rejected","REJECTED",IF(AND(B63&lt;&gt;"",C63&lt;&gt;"",D63&lt;&gt;"",E63&lt;&gt;"",F63&lt;&gt;"",G63&lt;&gt;"",H63&lt;&gt;"",I63&lt;&gt;"",J63&lt;&gt;"",M63&lt;&gt;"",O63&lt;&gt;"",T63&lt;&gt;""),"COMPLETE","MISSING FIELDS")))</f>
        <v/>
      </c>
    </row>
    <row r="64" ht="15" customHeight="1" s="15">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8">
        <f>IF(A64="","",IF(COUNTIF($A$5:$A$154,A64)&gt;1,"DUPLICATE","UNIQUE"))</f>
        <v/>
      </c>
      <c r="W64" s="28">
        <f>IF(A64="","",IF(T64="Rejected","REJECTED",IF(AND(B64&lt;&gt;"",C64&lt;&gt;"",D64&lt;&gt;"",E64&lt;&gt;"",F64&lt;&gt;"",G64&lt;&gt;"",H64&lt;&gt;"",I64&lt;&gt;"",J64&lt;&gt;"",M64&lt;&gt;"",O64&lt;&gt;"",T64&lt;&gt;""),"COMPLETE","MISSING FIELDS")))</f>
        <v/>
      </c>
    </row>
    <row r="65" ht="15" customHeight="1" s="15">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8">
        <f>IF(A65="","",IF(COUNTIF($A$5:$A$154,A65)&gt;1,"DUPLICATE","UNIQUE"))</f>
        <v/>
      </c>
      <c r="W65" s="28">
        <f>IF(A65="","",IF(T65="Rejected","REJECTED",IF(AND(B65&lt;&gt;"",C65&lt;&gt;"",D65&lt;&gt;"",E65&lt;&gt;"",F65&lt;&gt;"",G65&lt;&gt;"",H65&lt;&gt;"",I65&lt;&gt;"",J65&lt;&gt;"",M65&lt;&gt;"",O65&lt;&gt;"",T65&lt;&gt;""),"COMPLETE","MISSING FIELDS")))</f>
        <v/>
      </c>
    </row>
    <row r="66" ht="15" customHeight="1" s="15">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8">
        <f>IF(A66="","",IF(COUNTIF($A$5:$A$154,A66)&gt;1,"DUPLICATE","UNIQUE"))</f>
        <v/>
      </c>
      <c r="W66" s="28">
        <f>IF(A66="","",IF(T66="Rejected","REJECTED",IF(AND(B66&lt;&gt;"",C66&lt;&gt;"",D66&lt;&gt;"",E66&lt;&gt;"",F66&lt;&gt;"",G66&lt;&gt;"",H66&lt;&gt;"",I66&lt;&gt;"",J66&lt;&gt;"",M66&lt;&gt;"",O66&lt;&gt;"",T66&lt;&gt;""),"COMPLETE","MISSING FIELDS")))</f>
        <v/>
      </c>
    </row>
    <row r="67" ht="15" customHeight="1" s="15">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8">
        <f>IF(A67="","",IF(COUNTIF($A$5:$A$154,A67)&gt;1,"DUPLICATE","UNIQUE"))</f>
        <v/>
      </c>
      <c r="W67" s="28">
        <f>IF(A67="","",IF(T67="Rejected","REJECTED",IF(AND(B67&lt;&gt;"",C67&lt;&gt;"",D67&lt;&gt;"",E67&lt;&gt;"",F67&lt;&gt;"",G67&lt;&gt;"",H67&lt;&gt;"",I67&lt;&gt;"",J67&lt;&gt;"",M67&lt;&gt;"",O67&lt;&gt;"",T67&lt;&gt;""),"COMPLETE","MISSING FIELDS")))</f>
        <v/>
      </c>
    </row>
    <row r="68" ht="15" customHeight="1" s="15">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8">
        <f>IF(A68="","",IF(COUNTIF($A$5:$A$154,A68)&gt;1,"DUPLICATE","UNIQUE"))</f>
        <v/>
      </c>
      <c r="W68" s="28">
        <f>IF(A68="","",IF(T68="Rejected","REJECTED",IF(AND(B68&lt;&gt;"",C68&lt;&gt;"",D68&lt;&gt;"",E68&lt;&gt;"",F68&lt;&gt;"",G68&lt;&gt;"",H68&lt;&gt;"",I68&lt;&gt;"",J68&lt;&gt;"",M68&lt;&gt;"",O68&lt;&gt;"",T68&lt;&gt;""),"COMPLETE","MISSING FIELDS")))</f>
        <v/>
      </c>
    </row>
    <row r="69" ht="15" customHeight="1" s="15">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8">
        <f>IF(A69="","",IF(COUNTIF($A$5:$A$154,A69)&gt;1,"DUPLICATE","UNIQUE"))</f>
        <v/>
      </c>
      <c r="W69" s="28">
        <f>IF(A69="","",IF(T69="Rejected","REJECTED",IF(AND(B69&lt;&gt;"",C69&lt;&gt;"",D69&lt;&gt;"",E69&lt;&gt;"",F69&lt;&gt;"",G69&lt;&gt;"",H69&lt;&gt;"",I69&lt;&gt;"",J69&lt;&gt;"",M69&lt;&gt;"",O69&lt;&gt;"",T69&lt;&gt;""),"COMPLETE","MISSING FIELDS")))</f>
        <v/>
      </c>
    </row>
    <row r="70" ht="15" customHeight="1" s="15">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8">
        <f>IF(A70="","",IF(COUNTIF($A$5:$A$154,A70)&gt;1,"DUPLICATE","UNIQUE"))</f>
        <v/>
      </c>
      <c r="W70" s="28">
        <f>IF(A70="","",IF(T70="Rejected","REJECTED",IF(AND(B70&lt;&gt;"",C70&lt;&gt;"",D70&lt;&gt;"",E70&lt;&gt;"",F70&lt;&gt;"",G70&lt;&gt;"",H70&lt;&gt;"",I70&lt;&gt;"",J70&lt;&gt;"",M70&lt;&gt;"",O70&lt;&gt;"",T70&lt;&gt;""),"COMPLETE","MISSING FIELDS")))</f>
        <v/>
      </c>
    </row>
    <row r="71" ht="15" customHeight="1" s="15">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8">
        <f>IF(A71="","",IF(COUNTIF($A$5:$A$154,A71)&gt;1,"DUPLICATE","UNIQUE"))</f>
        <v/>
      </c>
      <c r="W71" s="28">
        <f>IF(A71="","",IF(T71="Rejected","REJECTED",IF(AND(B71&lt;&gt;"",C71&lt;&gt;"",D71&lt;&gt;"",E71&lt;&gt;"",F71&lt;&gt;"",G71&lt;&gt;"",H71&lt;&gt;"",I71&lt;&gt;"",J71&lt;&gt;"",M71&lt;&gt;"",O71&lt;&gt;"",T71&lt;&gt;""),"COMPLETE","MISSING FIELDS")))</f>
        <v/>
      </c>
    </row>
    <row r="72" ht="15" customHeight="1" s="15">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8">
        <f>IF(A72="","",IF(COUNTIF($A$5:$A$154,A72)&gt;1,"DUPLICATE","UNIQUE"))</f>
        <v/>
      </c>
      <c r="W72" s="28">
        <f>IF(A72="","",IF(T72="Rejected","REJECTED",IF(AND(B72&lt;&gt;"",C72&lt;&gt;"",D72&lt;&gt;"",E72&lt;&gt;"",F72&lt;&gt;"",G72&lt;&gt;"",H72&lt;&gt;"",I72&lt;&gt;"",J72&lt;&gt;"",M72&lt;&gt;"",O72&lt;&gt;"",T72&lt;&gt;""),"COMPLETE","MISSING FIELDS")))</f>
        <v/>
      </c>
    </row>
    <row r="73" ht="15" customHeight="1" s="15">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8">
        <f>IF(A73="","",IF(COUNTIF($A$5:$A$154,A73)&gt;1,"DUPLICATE","UNIQUE"))</f>
        <v/>
      </c>
      <c r="W73" s="28">
        <f>IF(A73="","",IF(T73="Rejected","REJECTED",IF(AND(B73&lt;&gt;"",C73&lt;&gt;"",D73&lt;&gt;"",E73&lt;&gt;"",F73&lt;&gt;"",G73&lt;&gt;"",H73&lt;&gt;"",I73&lt;&gt;"",J73&lt;&gt;"",M73&lt;&gt;"",O73&lt;&gt;"",T73&lt;&gt;""),"COMPLETE","MISSING FIELDS")))</f>
        <v/>
      </c>
    </row>
    <row r="74" ht="15" customHeight="1" s="15">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8">
        <f>IF(A74="","",IF(COUNTIF($A$5:$A$154,A74)&gt;1,"DUPLICATE","UNIQUE"))</f>
        <v/>
      </c>
      <c r="W74" s="28">
        <f>IF(A74="","",IF(T74="Rejected","REJECTED",IF(AND(B74&lt;&gt;"",C74&lt;&gt;"",D74&lt;&gt;"",E74&lt;&gt;"",F74&lt;&gt;"",G74&lt;&gt;"",H74&lt;&gt;"",I74&lt;&gt;"",J74&lt;&gt;"",M74&lt;&gt;"",O74&lt;&gt;"",T74&lt;&gt;""),"COMPLETE","MISSING FIELDS")))</f>
        <v/>
      </c>
    </row>
    <row r="75" ht="15" customHeight="1" s="15">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8">
        <f>IF(A75="","",IF(COUNTIF($A$5:$A$154,A75)&gt;1,"DUPLICATE","UNIQUE"))</f>
        <v/>
      </c>
      <c r="W75" s="28">
        <f>IF(A75="","",IF(T75="Rejected","REJECTED",IF(AND(B75&lt;&gt;"",C75&lt;&gt;"",D75&lt;&gt;"",E75&lt;&gt;"",F75&lt;&gt;"",G75&lt;&gt;"",H75&lt;&gt;"",I75&lt;&gt;"",J75&lt;&gt;"",M75&lt;&gt;"",O75&lt;&gt;"",T75&lt;&gt;""),"COMPLETE","MISSING FIELDS")))</f>
        <v/>
      </c>
    </row>
    <row r="76" ht="15" customHeight="1" s="15">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8">
        <f>IF(A76="","",IF(COUNTIF($A$5:$A$154,A76)&gt;1,"DUPLICATE","UNIQUE"))</f>
        <v/>
      </c>
      <c r="W76" s="28">
        <f>IF(A76="","",IF(T76="Rejected","REJECTED",IF(AND(B76&lt;&gt;"",C76&lt;&gt;"",D76&lt;&gt;"",E76&lt;&gt;"",F76&lt;&gt;"",G76&lt;&gt;"",H76&lt;&gt;"",I76&lt;&gt;"",J76&lt;&gt;"",M76&lt;&gt;"",O76&lt;&gt;"",T76&lt;&gt;""),"COMPLETE","MISSING FIELDS")))</f>
        <v/>
      </c>
    </row>
    <row r="77" ht="15" customHeight="1" s="15">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8">
        <f>IF(A77="","",IF(COUNTIF($A$5:$A$154,A77)&gt;1,"DUPLICATE","UNIQUE"))</f>
        <v/>
      </c>
      <c r="W77" s="28">
        <f>IF(A77="","",IF(T77="Rejected","REJECTED",IF(AND(B77&lt;&gt;"",C77&lt;&gt;"",D77&lt;&gt;"",E77&lt;&gt;"",F77&lt;&gt;"",G77&lt;&gt;"",H77&lt;&gt;"",I77&lt;&gt;"",J77&lt;&gt;"",M77&lt;&gt;"",O77&lt;&gt;"",T77&lt;&gt;""),"COMPLETE","MISSING FIELDS")))</f>
        <v/>
      </c>
    </row>
    <row r="78" ht="15" customHeight="1" s="15">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8">
        <f>IF(A78="","",IF(COUNTIF($A$5:$A$154,A78)&gt;1,"DUPLICATE","UNIQUE"))</f>
        <v/>
      </c>
      <c r="W78" s="28">
        <f>IF(A78="","",IF(T78="Rejected","REJECTED",IF(AND(B78&lt;&gt;"",C78&lt;&gt;"",D78&lt;&gt;"",E78&lt;&gt;"",F78&lt;&gt;"",G78&lt;&gt;"",H78&lt;&gt;"",I78&lt;&gt;"",J78&lt;&gt;"",M78&lt;&gt;"",O78&lt;&gt;"",T78&lt;&gt;""),"COMPLETE","MISSING FIELDS")))</f>
        <v/>
      </c>
    </row>
    <row r="79" ht="15" customHeight="1" s="15">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8">
        <f>IF(A79="","",IF(COUNTIF($A$5:$A$154,A79)&gt;1,"DUPLICATE","UNIQUE"))</f>
        <v/>
      </c>
      <c r="W79" s="28">
        <f>IF(A79="","",IF(T79="Rejected","REJECTED",IF(AND(B79&lt;&gt;"",C79&lt;&gt;"",D79&lt;&gt;"",E79&lt;&gt;"",F79&lt;&gt;"",G79&lt;&gt;"",H79&lt;&gt;"",I79&lt;&gt;"",J79&lt;&gt;"",M79&lt;&gt;"",O79&lt;&gt;"",T79&lt;&gt;""),"COMPLETE","MISSING FIELDS")))</f>
        <v/>
      </c>
    </row>
    <row r="80" ht="15" customHeight="1" s="15">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8">
        <f>IF(A80="","",IF(COUNTIF($A$5:$A$154,A80)&gt;1,"DUPLICATE","UNIQUE"))</f>
        <v/>
      </c>
      <c r="W80" s="28">
        <f>IF(A80="","",IF(T80="Rejected","REJECTED",IF(AND(B80&lt;&gt;"",C80&lt;&gt;"",D80&lt;&gt;"",E80&lt;&gt;"",F80&lt;&gt;"",G80&lt;&gt;"",H80&lt;&gt;"",I80&lt;&gt;"",J80&lt;&gt;"",M80&lt;&gt;"",O80&lt;&gt;"",T80&lt;&gt;""),"COMPLETE","MISSING FIELDS")))</f>
        <v/>
      </c>
    </row>
    <row r="81" ht="15" customHeight="1" s="15">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8">
        <f>IF(A81="","",IF(COUNTIF($A$5:$A$154,A81)&gt;1,"DUPLICATE","UNIQUE"))</f>
        <v/>
      </c>
      <c r="W81" s="28">
        <f>IF(A81="","",IF(T81="Rejected","REJECTED",IF(AND(B81&lt;&gt;"",C81&lt;&gt;"",D81&lt;&gt;"",E81&lt;&gt;"",F81&lt;&gt;"",G81&lt;&gt;"",H81&lt;&gt;"",I81&lt;&gt;"",J81&lt;&gt;"",M81&lt;&gt;"",O81&lt;&gt;"",T81&lt;&gt;""),"COMPLETE","MISSING FIELDS")))</f>
        <v/>
      </c>
    </row>
    <row r="82" ht="15" customHeight="1" s="15">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8">
        <f>IF(A82="","",IF(COUNTIF($A$5:$A$154,A82)&gt;1,"DUPLICATE","UNIQUE"))</f>
        <v/>
      </c>
      <c r="W82" s="28">
        <f>IF(A82="","",IF(T82="Rejected","REJECTED",IF(AND(B82&lt;&gt;"",C82&lt;&gt;"",D82&lt;&gt;"",E82&lt;&gt;"",F82&lt;&gt;"",G82&lt;&gt;"",H82&lt;&gt;"",I82&lt;&gt;"",J82&lt;&gt;"",M82&lt;&gt;"",O82&lt;&gt;"",T82&lt;&gt;""),"COMPLETE","MISSING FIELDS")))</f>
        <v/>
      </c>
    </row>
    <row r="83" ht="15" customHeight="1" s="15">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8">
        <f>IF(A83="","",IF(COUNTIF($A$5:$A$154,A83)&gt;1,"DUPLICATE","UNIQUE"))</f>
        <v/>
      </c>
      <c r="W83" s="28">
        <f>IF(A83="","",IF(T83="Rejected","REJECTED",IF(AND(B83&lt;&gt;"",C83&lt;&gt;"",D83&lt;&gt;"",E83&lt;&gt;"",F83&lt;&gt;"",G83&lt;&gt;"",H83&lt;&gt;"",I83&lt;&gt;"",J83&lt;&gt;"",M83&lt;&gt;"",O83&lt;&gt;"",T83&lt;&gt;""),"COMPLETE","MISSING FIELDS")))</f>
        <v/>
      </c>
    </row>
    <row r="84" ht="15" customHeight="1" s="15">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8">
        <f>IF(A84="","",IF(COUNTIF($A$5:$A$154,A84)&gt;1,"DUPLICATE","UNIQUE"))</f>
        <v/>
      </c>
      <c r="W84" s="28">
        <f>IF(A84="","",IF(T84="Rejected","REJECTED",IF(AND(B84&lt;&gt;"",C84&lt;&gt;"",D84&lt;&gt;"",E84&lt;&gt;"",F84&lt;&gt;"",G84&lt;&gt;"",H84&lt;&gt;"",I84&lt;&gt;"",J84&lt;&gt;"",M84&lt;&gt;"",O84&lt;&gt;"",T84&lt;&gt;""),"COMPLETE","MISSING FIELDS")))</f>
        <v/>
      </c>
    </row>
    <row r="85" ht="15" customHeight="1" s="15">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8">
        <f>IF(A85="","",IF(COUNTIF($A$5:$A$154,A85)&gt;1,"DUPLICATE","UNIQUE"))</f>
        <v/>
      </c>
      <c r="W85" s="28">
        <f>IF(A85="","",IF(T85="Rejected","REJECTED",IF(AND(B85&lt;&gt;"",C85&lt;&gt;"",D85&lt;&gt;"",E85&lt;&gt;"",F85&lt;&gt;"",G85&lt;&gt;"",H85&lt;&gt;"",I85&lt;&gt;"",J85&lt;&gt;"",M85&lt;&gt;"",O85&lt;&gt;"",T85&lt;&gt;""),"COMPLETE","MISSING FIELDS")))</f>
        <v/>
      </c>
    </row>
    <row r="86" ht="15" customHeight="1" s="15">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8">
        <f>IF(A86="","",IF(COUNTIF($A$5:$A$154,A86)&gt;1,"DUPLICATE","UNIQUE"))</f>
        <v/>
      </c>
      <c r="W86" s="28">
        <f>IF(A86="","",IF(T86="Rejected","REJECTED",IF(AND(B86&lt;&gt;"",C86&lt;&gt;"",D86&lt;&gt;"",E86&lt;&gt;"",F86&lt;&gt;"",G86&lt;&gt;"",H86&lt;&gt;"",I86&lt;&gt;"",J86&lt;&gt;"",M86&lt;&gt;"",O86&lt;&gt;"",T86&lt;&gt;""),"COMPLETE","MISSING FIELDS")))</f>
        <v/>
      </c>
    </row>
    <row r="87" ht="15" customHeight="1" s="15">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8">
        <f>IF(A87="","",IF(COUNTIF($A$5:$A$154,A87)&gt;1,"DUPLICATE","UNIQUE"))</f>
        <v/>
      </c>
      <c r="W87" s="28">
        <f>IF(A87="","",IF(T87="Rejected","REJECTED",IF(AND(B87&lt;&gt;"",C87&lt;&gt;"",D87&lt;&gt;"",E87&lt;&gt;"",F87&lt;&gt;"",G87&lt;&gt;"",H87&lt;&gt;"",I87&lt;&gt;"",J87&lt;&gt;"",M87&lt;&gt;"",O87&lt;&gt;"",T87&lt;&gt;""),"COMPLETE","MISSING FIELDS")))</f>
        <v/>
      </c>
    </row>
    <row r="88" ht="15" customHeight="1" s="15">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8">
        <f>IF(A88="","",IF(COUNTIF($A$5:$A$154,A88)&gt;1,"DUPLICATE","UNIQUE"))</f>
        <v/>
      </c>
      <c r="W88" s="28">
        <f>IF(A88="","",IF(T88="Rejected","REJECTED",IF(AND(B88&lt;&gt;"",C88&lt;&gt;"",D88&lt;&gt;"",E88&lt;&gt;"",F88&lt;&gt;"",G88&lt;&gt;"",H88&lt;&gt;"",I88&lt;&gt;"",J88&lt;&gt;"",M88&lt;&gt;"",O88&lt;&gt;"",T88&lt;&gt;""),"COMPLETE","MISSING FIELDS")))</f>
        <v/>
      </c>
    </row>
    <row r="89" ht="15" customHeight="1" s="15">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8">
        <f>IF(A89="","",IF(COUNTIF($A$5:$A$154,A89)&gt;1,"DUPLICATE","UNIQUE"))</f>
        <v/>
      </c>
      <c r="W89" s="28">
        <f>IF(A89="","",IF(T89="Rejected","REJECTED",IF(AND(B89&lt;&gt;"",C89&lt;&gt;"",D89&lt;&gt;"",E89&lt;&gt;"",F89&lt;&gt;"",G89&lt;&gt;"",H89&lt;&gt;"",I89&lt;&gt;"",J89&lt;&gt;"",M89&lt;&gt;"",O89&lt;&gt;"",T89&lt;&gt;""),"COMPLETE","MISSING FIELDS")))</f>
        <v/>
      </c>
    </row>
    <row r="90" ht="15" customHeight="1" s="15">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8">
        <f>IF(A90="","",IF(COUNTIF($A$5:$A$154,A90)&gt;1,"DUPLICATE","UNIQUE"))</f>
        <v/>
      </c>
      <c r="W90" s="28">
        <f>IF(A90="","",IF(T90="Rejected","REJECTED",IF(AND(B90&lt;&gt;"",C90&lt;&gt;"",D90&lt;&gt;"",E90&lt;&gt;"",F90&lt;&gt;"",G90&lt;&gt;"",H90&lt;&gt;"",I90&lt;&gt;"",J90&lt;&gt;"",M90&lt;&gt;"",O90&lt;&gt;"",T90&lt;&gt;""),"COMPLETE","MISSING FIELDS")))</f>
        <v/>
      </c>
    </row>
    <row r="91" ht="15" customHeight="1" s="15">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8">
        <f>IF(A91="","",IF(COUNTIF($A$5:$A$154,A91)&gt;1,"DUPLICATE","UNIQUE"))</f>
        <v/>
      </c>
      <c r="W91" s="28">
        <f>IF(A91="","",IF(T91="Rejected","REJECTED",IF(AND(B91&lt;&gt;"",C91&lt;&gt;"",D91&lt;&gt;"",E91&lt;&gt;"",F91&lt;&gt;"",G91&lt;&gt;"",H91&lt;&gt;"",I91&lt;&gt;"",J91&lt;&gt;"",M91&lt;&gt;"",O91&lt;&gt;"",T91&lt;&gt;""),"COMPLETE","MISSING FIELDS")))</f>
        <v/>
      </c>
    </row>
    <row r="92" ht="15" customHeight="1" s="15">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8">
        <f>IF(A92="","",IF(COUNTIF($A$5:$A$154,A92)&gt;1,"DUPLICATE","UNIQUE"))</f>
        <v/>
      </c>
      <c r="W92" s="28">
        <f>IF(A92="","",IF(T92="Rejected","REJECTED",IF(AND(B92&lt;&gt;"",C92&lt;&gt;"",D92&lt;&gt;"",E92&lt;&gt;"",F92&lt;&gt;"",G92&lt;&gt;"",H92&lt;&gt;"",I92&lt;&gt;"",J92&lt;&gt;"",M92&lt;&gt;"",O92&lt;&gt;"",T92&lt;&gt;""),"COMPLETE","MISSING FIELDS")))</f>
        <v/>
      </c>
    </row>
    <row r="93" ht="15" customHeight="1" s="15">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8">
        <f>IF(A93="","",IF(COUNTIF($A$5:$A$154,A93)&gt;1,"DUPLICATE","UNIQUE"))</f>
        <v/>
      </c>
      <c r="W93" s="28">
        <f>IF(A93="","",IF(T93="Rejected","REJECTED",IF(AND(B93&lt;&gt;"",C93&lt;&gt;"",D93&lt;&gt;"",E93&lt;&gt;"",F93&lt;&gt;"",G93&lt;&gt;"",H93&lt;&gt;"",I93&lt;&gt;"",J93&lt;&gt;"",M93&lt;&gt;"",O93&lt;&gt;"",T93&lt;&gt;""),"COMPLETE","MISSING FIELDS")))</f>
        <v/>
      </c>
    </row>
    <row r="94" ht="15" customHeight="1" s="15">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8">
        <f>IF(A94="","",IF(COUNTIF($A$5:$A$154,A94)&gt;1,"DUPLICATE","UNIQUE"))</f>
        <v/>
      </c>
      <c r="W94" s="28">
        <f>IF(A94="","",IF(T94="Rejected","REJECTED",IF(AND(B94&lt;&gt;"",C94&lt;&gt;"",D94&lt;&gt;"",E94&lt;&gt;"",F94&lt;&gt;"",G94&lt;&gt;"",H94&lt;&gt;"",I94&lt;&gt;"",J94&lt;&gt;"",M94&lt;&gt;"",O94&lt;&gt;"",T94&lt;&gt;""),"COMPLETE","MISSING FIELDS")))</f>
        <v/>
      </c>
    </row>
    <row r="95" ht="15" customHeight="1" s="15">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8">
        <f>IF(A95="","",IF(COUNTIF($A$5:$A$154,A95)&gt;1,"DUPLICATE","UNIQUE"))</f>
        <v/>
      </c>
      <c r="W95" s="28">
        <f>IF(A95="","",IF(T95="Rejected","REJECTED",IF(AND(B95&lt;&gt;"",C95&lt;&gt;"",D95&lt;&gt;"",E95&lt;&gt;"",F95&lt;&gt;"",G95&lt;&gt;"",H95&lt;&gt;"",I95&lt;&gt;"",J95&lt;&gt;"",M95&lt;&gt;"",O95&lt;&gt;"",T95&lt;&gt;""),"COMPLETE","MISSING FIELDS")))</f>
        <v/>
      </c>
    </row>
    <row r="96" ht="15" customHeight="1" s="15">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8">
        <f>IF(A96="","",IF(COUNTIF($A$5:$A$154,A96)&gt;1,"DUPLICATE","UNIQUE"))</f>
        <v/>
      </c>
      <c r="W96" s="28">
        <f>IF(A96="","",IF(T96="Rejected","REJECTED",IF(AND(B96&lt;&gt;"",C96&lt;&gt;"",D96&lt;&gt;"",E96&lt;&gt;"",F96&lt;&gt;"",G96&lt;&gt;"",H96&lt;&gt;"",I96&lt;&gt;"",J96&lt;&gt;"",M96&lt;&gt;"",O96&lt;&gt;"",T96&lt;&gt;""),"COMPLETE","MISSING FIELDS")))</f>
        <v/>
      </c>
    </row>
    <row r="97" ht="15" customHeight="1" s="15">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8">
        <f>IF(A97="","",IF(COUNTIF($A$5:$A$154,A97)&gt;1,"DUPLICATE","UNIQUE"))</f>
        <v/>
      </c>
      <c r="W97" s="28">
        <f>IF(A97="","",IF(T97="Rejected","REJECTED",IF(AND(B97&lt;&gt;"",C97&lt;&gt;"",D97&lt;&gt;"",E97&lt;&gt;"",F97&lt;&gt;"",G97&lt;&gt;"",H97&lt;&gt;"",I97&lt;&gt;"",J97&lt;&gt;"",M97&lt;&gt;"",O97&lt;&gt;"",T97&lt;&gt;""),"COMPLETE","MISSING FIELDS")))</f>
        <v/>
      </c>
    </row>
    <row r="98" ht="15" customHeight="1" s="15">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8">
        <f>IF(A98="","",IF(COUNTIF($A$5:$A$154,A98)&gt;1,"DUPLICATE","UNIQUE"))</f>
        <v/>
      </c>
      <c r="W98" s="28">
        <f>IF(A98="","",IF(T98="Rejected","REJECTED",IF(AND(B98&lt;&gt;"",C98&lt;&gt;"",D98&lt;&gt;"",E98&lt;&gt;"",F98&lt;&gt;"",G98&lt;&gt;"",H98&lt;&gt;"",I98&lt;&gt;"",J98&lt;&gt;"",M98&lt;&gt;"",O98&lt;&gt;"",T98&lt;&gt;""),"COMPLETE","MISSING FIELDS")))</f>
        <v/>
      </c>
    </row>
    <row r="99" ht="15" customHeight="1" s="15">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8">
        <f>IF(A99="","",IF(COUNTIF($A$5:$A$154,A99)&gt;1,"DUPLICATE","UNIQUE"))</f>
        <v/>
      </c>
      <c r="W99" s="28">
        <f>IF(A99="","",IF(T99="Rejected","REJECTED",IF(AND(B99&lt;&gt;"",C99&lt;&gt;"",D99&lt;&gt;"",E99&lt;&gt;"",F99&lt;&gt;"",G99&lt;&gt;"",H99&lt;&gt;"",I99&lt;&gt;"",J99&lt;&gt;"",M99&lt;&gt;"",O99&lt;&gt;"",T99&lt;&gt;""),"COMPLETE","MISSING FIELDS")))</f>
        <v/>
      </c>
    </row>
    <row r="100" ht="15" customHeight="1" s="15">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8">
        <f>IF(A100="","",IF(COUNTIF($A$5:$A$154,A100)&gt;1,"DUPLICATE","UNIQUE"))</f>
        <v/>
      </c>
      <c r="W100" s="28">
        <f>IF(A100="","",IF(T100="Rejected","REJECTED",IF(AND(B100&lt;&gt;"",C100&lt;&gt;"",D100&lt;&gt;"",E100&lt;&gt;"",F100&lt;&gt;"",G100&lt;&gt;"",H100&lt;&gt;"",I100&lt;&gt;"",J100&lt;&gt;"",M100&lt;&gt;"",O100&lt;&gt;"",T100&lt;&gt;""),"COMPLETE","MISSING FIELDS")))</f>
        <v/>
      </c>
    </row>
    <row r="101" ht="15" customHeight="1" s="15">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8">
        <f>IF(A101="","",IF(COUNTIF($A$5:$A$154,A101)&gt;1,"DUPLICATE","UNIQUE"))</f>
        <v/>
      </c>
      <c r="W101" s="28">
        <f>IF(A101="","",IF(T101="Rejected","REJECTED",IF(AND(B101&lt;&gt;"",C101&lt;&gt;"",D101&lt;&gt;"",E101&lt;&gt;"",F101&lt;&gt;"",G101&lt;&gt;"",H101&lt;&gt;"",I101&lt;&gt;"",J101&lt;&gt;"",M101&lt;&gt;"",O101&lt;&gt;"",T101&lt;&gt;""),"COMPLETE","MISSING FIELDS")))</f>
        <v/>
      </c>
    </row>
    <row r="102" ht="15" customHeight="1" s="15">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8">
        <f>IF(A102="","",IF(COUNTIF($A$5:$A$154,A102)&gt;1,"DUPLICATE","UNIQUE"))</f>
        <v/>
      </c>
      <c r="W102" s="28">
        <f>IF(A102="","",IF(T102="Rejected","REJECTED",IF(AND(B102&lt;&gt;"",C102&lt;&gt;"",D102&lt;&gt;"",E102&lt;&gt;"",F102&lt;&gt;"",G102&lt;&gt;"",H102&lt;&gt;"",I102&lt;&gt;"",J102&lt;&gt;"",M102&lt;&gt;"",O102&lt;&gt;"",T102&lt;&gt;""),"COMPLETE","MISSING FIELDS")))</f>
        <v/>
      </c>
    </row>
    <row r="103" ht="15" customHeight="1" s="15">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8">
        <f>IF(A103="","",IF(COUNTIF($A$5:$A$154,A103)&gt;1,"DUPLICATE","UNIQUE"))</f>
        <v/>
      </c>
      <c r="W103" s="28">
        <f>IF(A103="","",IF(T103="Rejected","REJECTED",IF(AND(B103&lt;&gt;"",C103&lt;&gt;"",D103&lt;&gt;"",E103&lt;&gt;"",F103&lt;&gt;"",G103&lt;&gt;"",H103&lt;&gt;"",I103&lt;&gt;"",J103&lt;&gt;"",M103&lt;&gt;"",O103&lt;&gt;"",T103&lt;&gt;""),"COMPLETE","MISSING FIELDS")))</f>
        <v/>
      </c>
    </row>
    <row r="104" ht="15" customHeight="1" s="15">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8">
        <f>IF(A104="","",IF(COUNTIF($A$5:$A$154,A104)&gt;1,"DUPLICATE","UNIQUE"))</f>
        <v/>
      </c>
      <c r="W104" s="28">
        <f>IF(A104="","",IF(T104="Rejected","REJECTED",IF(AND(B104&lt;&gt;"",C104&lt;&gt;"",D104&lt;&gt;"",E104&lt;&gt;"",F104&lt;&gt;"",G104&lt;&gt;"",H104&lt;&gt;"",I104&lt;&gt;"",J104&lt;&gt;"",M104&lt;&gt;"",O104&lt;&gt;"",T104&lt;&gt;""),"COMPLETE","MISSING FIELDS")))</f>
        <v/>
      </c>
    </row>
    <row r="105" ht="15" customHeight="1" s="1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8">
        <f>IF(A105="","",IF(COUNTIF($A$5:$A$154,A105)&gt;1,"DUPLICATE","UNIQUE"))</f>
        <v/>
      </c>
      <c r="W105" s="28">
        <f>IF(A105="","",IF(T105="Rejected","REJECTED",IF(AND(B105&lt;&gt;"",C105&lt;&gt;"",D105&lt;&gt;"",E105&lt;&gt;"",F105&lt;&gt;"",G105&lt;&gt;"",H105&lt;&gt;"",I105&lt;&gt;"",J105&lt;&gt;"",M105&lt;&gt;"",O105&lt;&gt;"",T105&lt;&gt;""),"COMPLETE","MISSING FIELDS")))</f>
        <v/>
      </c>
    </row>
    <row r="106" ht="15" customHeight="1" s="15">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8">
        <f>IF(A106="","",IF(COUNTIF($A$5:$A$154,A106)&gt;1,"DUPLICATE","UNIQUE"))</f>
        <v/>
      </c>
      <c r="W106" s="28">
        <f>IF(A106="","",IF(T106="Rejected","REJECTED",IF(AND(B106&lt;&gt;"",C106&lt;&gt;"",D106&lt;&gt;"",E106&lt;&gt;"",F106&lt;&gt;"",G106&lt;&gt;"",H106&lt;&gt;"",I106&lt;&gt;"",J106&lt;&gt;"",M106&lt;&gt;"",O106&lt;&gt;"",T106&lt;&gt;""),"COMPLETE","MISSING FIELDS")))</f>
        <v/>
      </c>
    </row>
    <row r="107" ht="15" customHeight="1" s="15">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8">
        <f>IF(A107="","",IF(COUNTIF($A$5:$A$154,A107)&gt;1,"DUPLICATE","UNIQUE"))</f>
        <v/>
      </c>
      <c r="W107" s="28">
        <f>IF(A107="","",IF(T107="Rejected","REJECTED",IF(AND(B107&lt;&gt;"",C107&lt;&gt;"",D107&lt;&gt;"",E107&lt;&gt;"",F107&lt;&gt;"",G107&lt;&gt;"",H107&lt;&gt;"",I107&lt;&gt;"",J107&lt;&gt;"",M107&lt;&gt;"",O107&lt;&gt;"",T107&lt;&gt;""),"COMPLETE","MISSING FIELDS")))</f>
        <v/>
      </c>
    </row>
    <row r="108" ht="15" customHeight="1" s="15">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8">
        <f>IF(A108="","",IF(COUNTIF($A$5:$A$154,A108)&gt;1,"DUPLICATE","UNIQUE"))</f>
        <v/>
      </c>
      <c r="W108" s="28">
        <f>IF(A108="","",IF(T108="Rejected","REJECTED",IF(AND(B108&lt;&gt;"",C108&lt;&gt;"",D108&lt;&gt;"",E108&lt;&gt;"",F108&lt;&gt;"",G108&lt;&gt;"",H108&lt;&gt;"",I108&lt;&gt;"",J108&lt;&gt;"",M108&lt;&gt;"",O108&lt;&gt;"",T108&lt;&gt;""),"COMPLETE","MISSING FIELDS")))</f>
        <v/>
      </c>
    </row>
    <row r="109" ht="15" customHeight="1" s="15">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8">
        <f>IF(A109="","",IF(COUNTIF($A$5:$A$154,A109)&gt;1,"DUPLICATE","UNIQUE"))</f>
        <v/>
      </c>
      <c r="W109" s="28">
        <f>IF(A109="","",IF(T109="Rejected","REJECTED",IF(AND(B109&lt;&gt;"",C109&lt;&gt;"",D109&lt;&gt;"",E109&lt;&gt;"",F109&lt;&gt;"",G109&lt;&gt;"",H109&lt;&gt;"",I109&lt;&gt;"",J109&lt;&gt;"",M109&lt;&gt;"",O109&lt;&gt;"",T109&lt;&gt;""),"COMPLETE","MISSING FIELDS")))</f>
        <v/>
      </c>
    </row>
    <row r="110" ht="15" customHeight="1" s="15">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8">
        <f>IF(A110="","",IF(COUNTIF($A$5:$A$154,A110)&gt;1,"DUPLICATE","UNIQUE"))</f>
        <v/>
      </c>
      <c r="W110" s="28">
        <f>IF(A110="","",IF(T110="Rejected","REJECTED",IF(AND(B110&lt;&gt;"",C110&lt;&gt;"",D110&lt;&gt;"",E110&lt;&gt;"",F110&lt;&gt;"",G110&lt;&gt;"",H110&lt;&gt;"",I110&lt;&gt;"",J110&lt;&gt;"",M110&lt;&gt;"",O110&lt;&gt;"",T110&lt;&gt;""),"COMPLETE","MISSING FIELDS")))</f>
        <v/>
      </c>
    </row>
    <row r="111" ht="15" customHeight="1" s="15">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8">
        <f>IF(A111="","",IF(COUNTIF($A$5:$A$154,A111)&gt;1,"DUPLICATE","UNIQUE"))</f>
        <v/>
      </c>
      <c r="W111" s="28">
        <f>IF(A111="","",IF(T111="Rejected","REJECTED",IF(AND(B111&lt;&gt;"",C111&lt;&gt;"",D111&lt;&gt;"",E111&lt;&gt;"",F111&lt;&gt;"",G111&lt;&gt;"",H111&lt;&gt;"",I111&lt;&gt;"",J111&lt;&gt;"",M111&lt;&gt;"",O111&lt;&gt;"",T111&lt;&gt;""),"COMPLETE","MISSING FIELDS")))</f>
        <v/>
      </c>
    </row>
    <row r="112" ht="15" customHeight="1" s="15">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8">
        <f>IF(A112="","",IF(COUNTIF($A$5:$A$154,A112)&gt;1,"DUPLICATE","UNIQUE"))</f>
        <v/>
      </c>
      <c r="W112" s="28">
        <f>IF(A112="","",IF(T112="Rejected","REJECTED",IF(AND(B112&lt;&gt;"",C112&lt;&gt;"",D112&lt;&gt;"",E112&lt;&gt;"",F112&lt;&gt;"",G112&lt;&gt;"",H112&lt;&gt;"",I112&lt;&gt;"",J112&lt;&gt;"",M112&lt;&gt;"",O112&lt;&gt;"",T112&lt;&gt;""),"COMPLETE","MISSING FIELDS")))</f>
        <v/>
      </c>
    </row>
    <row r="113" ht="15" customHeight="1" s="15">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8">
        <f>IF(A113="","",IF(COUNTIF($A$5:$A$154,A113)&gt;1,"DUPLICATE","UNIQUE"))</f>
        <v/>
      </c>
      <c r="W113" s="28">
        <f>IF(A113="","",IF(T113="Rejected","REJECTED",IF(AND(B113&lt;&gt;"",C113&lt;&gt;"",D113&lt;&gt;"",E113&lt;&gt;"",F113&lt;&gt;"",G113&lt;&gt;"",H113&lt;&gt;"",I113&lt;&gt;"",J113&lt;&gt;"",M113&lt;&gt;"",O113&lt;&gt;"",T113&lt;&gt;""),"COMPLETE","MISSING FIELDS")))</f>
        <v/>
      </c>
    </row>
    <row r="114" ht="15" customHeight="1" s="15">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8">
        <f>IF(A114="","",IF(COUNTIF($A$5:$A$154,A114)&gt;1,"DUPLICATE","UNIQUE"))</f>
        <v/>
      </c>
      <c r="W114" s="28">
        <f>IF(A114="","",IF(T114="Rejected","REJECTED",IF(AND(B114&lt;&gt;"",C114&lt;&gt;"",D114&lt;&gt;"",E114&lt;&gt;"",F114&lt;&gt;"",G114&lt;&gt;"",H114&lt;&gt;"",I114&lt;&gt;"",J114&lt;&gt;"",M114&lt;&gt;"",O114&lt;&gt;"",T114&lt;&gt;""),"COMPLETE","MISSING FIELDS")))</f>
        <v/>
      </c>
    </row>
    <row r="115" ht="15" customHeight="1" s="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8">
        <f>IF(A115="","",IF(COUNTIF($A$5:$A$154,A115)&gt;1,"DUPLICATE","UNIQUE"))</f>
        <v/>
      </c>
      <c r="W115" s="28">
        <f>IF(A115="","",IF(T115="Rejected","REJECTED",IF(AND(B115&lt;&gt;"",C115&lt;&gt;"",D115&lt;&gt;"",E115&lt;&gt;"",F115&lt;&gt;"",G115&lt;&gt;"",H115&lt;&gt;"",I115&lt;&gt;"",J115&lt;&gt;"",M115&lt;&gt;"",O115&lt;&gt;"",T115&lt;&gt;""),"COMPLETE","MISSING FIELDS")))</f>
        <v/>
      </c>
    </row>
    <row r="116" ht="15" customHeight="1" s="15">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8">
        <f>IF(A116="","",IF(COUNTIF($A$5:$A$154,A116)&gt;1,"DUPLICATE","UNIQUE"))</f>
        <v/>
      </c>
      <c r="W116" s="28">
        <f>IF(A116="","",IF(T116="Rejected","REJECTED",IF(AND(B116&lt;&gt;"",C116&lt;&gt;"",D116&lt;&gt;"",E116&lt;&gt;"",F116&lt;&gt;"",G116&lt;&gt;"",H116&lt;&gt;"",I116&lt;&gt;"",J116&lt;&gt;"",M116&lt;&gt;"",O116&lt;&gt;"",T116&lt;&gt;""),"COMPLETE","MISSING FIELDS")))</f>
        <v/>
      </c>
    </row>
    <row r="117" ht="15" customHeight="1" s="15">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8">
        <f>IF(A117="","",IF(COUNTIF($A$5:$A$154,A117)&gt;1,"DUPLICATE","UNIQUE"))</f>
        <v/>
      </c>
      <c r="W117" s="28">
        <f>IF(A117="","",IF(T117="Rejected","REJECTED",IF(AND(B117&lt;&gt;"",C117&lt;&gt;"",D117&lt;&gt;"",E117&lt;&gt;"",F117&lt;&gt;"",G117&lt;&gt;"",H117&lt;&gt;"",I117&lt;&gt;"",J117&lt;&gt;"",M117&lt;&gt;"",O117&lt;&gt;"",T117&lt;&gt;""),"COMPLETE","MISSING FIELDS")))</f>
        <v/>
      </c>
    </row>
    <row r="118" ht="15" customHeight="1" s="15">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8">
        <f>IF(A118="","",IF(COUNTIF($A$5:$A$154,A118)&gt;1,"DUPLICATE","UNIQUE"))</f>
        <v/>
      </c>
      <c r="W118" s="28">
        <f>IF(A118="","",IF(T118="Rejected","REJECTED",IF(AND(B118&lt;&gt;"",C118&lt;&gt;"",D118&lt;&gt;"",E118&lt;&gt;"",F118&lt;&gt;"",G118&lt;&gt;"",H118&lt;&gt;"",I118&lt;&gt;"",J118&lt;&gt;"",M118&lt;&gt;"",O118&lt;&gt;"",T118&lt;&gt;""),"COMPLETE","MISSING FIELDS")))</f>
        <v/>
      </c>
    </row>
    <row r="119" ht="15" customHeight="1" s="15">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8">
        <f>IF(A119="","",IF(COUNTIF($A$5:$A$154,A119)&gt;1,"DUPLICATE","UNIQUE"))</f>
        <v/>
      </c>
      <c r="W119" s="28">
        <f>IF(A119="","",IF(T119="Rejected","REJECTED",IF(AND(B119&lt;&gt;"",C119&lt;&gt;"",D119&lt;&gt;"",E119&lt;&gt;"",F119&lt;&gt;"",G119&lt;&gt;"",H119&lt;&gt;"",I119&lt;&gt;"",J119&lt;&gt;"",M119&lt;&gt;"",O119&lt;&gt;"",T119&lt;&gt;""),"COMPLETE","MISSING FIELDS")))</f>
        <v/>
      </c>
    </row>
    <row r="120" ht="15" customHeight="1" s="15">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8">
        <f>IF(A120="","",IF(COUNTIF($A$5:$A$154,A120)&gt;1,"DUPLICATE","UNIQUE"))</f>
        <v/>
      </c>
      <c r="W120" s="28">
        <f>IF(A120="","",IF(T120="Rejected","REJECTED",IF(AND(B120&lt;&gt;"",C120&lt;&gt;"",D120&lt;&gt;"",E120&lt;&gt;"",F120&lt;&gt;"",G120&lt;&gt;"",H120&lt;&gt;"",I120&lt;&gt;"",J120&lt;&gt;"",M120&lt;&gt;"",O120&lt;&gt;"",T120&lt;&gt;""),"COMPLETE","MISSING FIELDS")))</f>
        <v/>
      </c>
    </row>
    <row r="121" ht="15" customHeight="1" s="15">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8">
        <f>IF(A121="","",IF(COUNTIF($A$5:$A$154,A121)&gt;1,"DUPLICATE","UNIQUE"))</f>
        <v/>
      </c>
      <c r="W121" s="28">
        <f>IF(A121="","",IF(T121="Rejected","REJECTED",IF(AND(B121&lt;&gt;"",C121&lt;&gt;"",D121&lt;&gt;"",E121&lt;&gt;"",F121&lt;&gt;"",G121&lt;&gt;"",H121&lt;&gt;"",I121&lt;&gt;"",J121&lt;&gt;"",M121&lt;&gt;"",O121&lt;&gt;"",T121&lt;&gt;""),"COMPLETE","MISSING FIELDS")))</f>
        <v/>
      </c>
    </row>
    <row r="122" ht="15" customHeight="1" s="15">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8">
        <f>IF(A122="","",IF(COUNTIF($A$5:$A$154,A122)&gt;1,"DUPLICATE","UNIQUE"))</f>
        <v/>
      </c>
      <c r="W122" s="28">
        <f>IF(A122="","",IF(T122="Rejected","REJECTED",IF(AND(B122&lt;&gt;"",C122&lt;&gt;"",D122&lt;&gt;"",E122&lt;&gt;"",F122&lt;&gt;"",G122&lt;&gt;"",H122&lt;&gt;"",I122&lt;&gt;"",J122&lt;&gt;"",M122&lt;&gt;"",O122&lt;&gt;"",T122&lt;&gt;""),"COMPLETE","MISSING FIELDS")))</f>
        <v/>
      </c>
    </row>
    <row r="123" ht="15" customHeight="1" s="15">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8">
        <f>IF(A123="","",IF(COUNTIF($A$5:$A$154,A123)&gt;1,"DUPLICATE","UNIQUE"))</f>
        <v/>
      </c>
      <c r="W123" s="28">
        <f>IF(A123="","",IF(T123="Rejected","REJECTED",IF(AND(B123&lt;&gt;"",C123&lt;&gt;"",D123&lt;&gt;"",E123&lt;&gt;"",F123&lt;&gt;"",G123&lt;&gt;"",H123&lt;&gt;"",I123&lt;&gt;"",J123&lt;&gt;"",M123&lt;&gt;"",O123&lt;&gt;"",T123&lt;&gt;""),"COMPLETE","MISSING FIELDS")))</f>
        <v/>
      </c>
    </row>
    <row r="124" ht="15" customHeight="1" s="15">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8">
        <f>IF(A124="","",IF(COUNTIF($A$5:$A$154,A124)&gt;1,"DUPLICATE","UNIQUE"))</f>
        <v/>
      </c>
      <c r="W124" s="28">
        <f>IF(A124="","",IF(T124="Rejected","REJECTED",IF(AND(B124&lt;&gt;"",C124&lt;&gt;"",D124&lt;&gt;"",E124&lt;&gt;"",F124&lt;&gt;"",G124&lt;&gt;"",H124&lt;&gt;"",I124&lt;&gt;"",J124&lt;&gt;"",M124&lt;&gt;"",O124&lt;&gt;"",T124&lt;&gt;""),"COMPLETE","MISSING FIELDS")))</f>
        <v/>
      </c>
    </row>
    <row r="125" ht="15" customHeight="1" s="1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8">
        <f>IF(A125="","",IF(COUNTIF($A$5:$A$154,A125)&gt;1,"DUPLICATE","UNIQUE"))</f>
        <v/>
      </c>
      <c r="W125" s="28">
        <f>IF(A125="","",IF(T125="Rejected","REJECTED",IF(AND(B125&lt;&gt;"",C125&lt;&gt;"",D125&lt;&gt;"",E125&lt;&gt;"",F125&lt;&gt;"",G125&lt;&gt;"",H125&lt;&gt;"",I125&lt;&gt;"",J125&lt;&gt;"",M125&lt;&gt;"",O125&lt;&gt;"",T125&lt;&gt;""),"COMPLETE","MISSING FIELDS")))</f>
        <v/>
      </c>
    </row>
    <row r="126" ht="15" customHeight="1" s="15">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8">
        <f>IF(A126="","",IF(COUNTIF($A$5:$A$154,A126)&gt;1,"DUPLICATE","UNIQUE"))</f>
        <v/>
      </c>
      <c r="W126" s="28">
        <f>IF(A126="","",IF(T126="Rejected","REJECTED",IF(AND(B126&lt;&gt;"",C126&lt;&gt;"",D126&lt;&gt;"",E126&lt;&gt;"",F126&lt;&gt;"",G126&lt;&gt;"",H126&lt;&gt;"",I126&lt;&gt;"",J126&lt;&gt;"",M126&lt;&gt;"",O126&lt;&gt;"",T126&lt;&gt;""),"COMPLETE","MISSING FIELDS")))</f>
        <v/>
      </c>
    </row>
    <row r="127" ht="15" customHeight="1" s="15">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8">
        <f>IF(A127="","",IF(COUNTIF($A$5:$A$154,A127)&gt;1,"DUPLICATE","UNIQUE"))</f>
        <v/>
      </c>
      <c r="W127" s="28">
        <f>IF(A127="","",IF(T127="Rejected","REJECTED",IF(AND(B127&lt;&gt;"",C127&lt;&gt;"",D127&lt;&gt;"",E127&lt;&gt;"",F127&lt;&gt;"",G127&lt;&gt;"",H127&lt;&gt;"",I127&lt;&gt;"",J127&lt;&gt;"",M127&lt;&gt;"",O127&lt;&gt;"",T127&lt;&gt;""),"COMPLETE","MISSING FIELDS")))</f>
        <v/>
      </c>
    </row>
    <row r="128" ht="15" customHeight="1" s="15">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8">
        <f>IF(A128="","",IF(COUNTIF($A$5:$A$154,A128)&gt;1,"DUPLICATE","UNIQUE"))</f>
        <v/>
      </c>
      <c r="W128" s="28">
        <f>IF(A128="","",IF(T128="Rejected","REJECTED",IF(AND(B128&lt;&gt;"",C128&lt;&gt;"",D128&lt;&gt;"",E128&lt;&gt;"",F128&lt;&gt;"",G128&lt;&gt;"",H128&lt;&gt;"",I128&lt;&gt;"",J128&lt;&gt;"",M128&lt;&gt;"",O128&lt;&gt;"",T128&lt;&gt;""),"COMPLETE","MISSING FIELDS")))</f>
        <v/>
      </c>
    </row>
    <row r="129" ht="15" customHeight="1" s="15">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8">
        <f>IF(A129="","",IF(COUNTIF($A$5:$A$154,A129)&gt;1,"DUPLICATE","UNIQUE"))</f>
        <v/>
      </c>
      <c r="W129" s="28">
        <f>IF(A129="","",IF(T129="Rejected","REJECTED",IF(AND(B129&lt;&gt;"",C129&lt;&gt;"",D129&lt;&gt;"",E129&lt;&gt;"",F129&lt;&gt;"",G129&lt;&gt;"",H129&lt;&gt;"",I129&lt;&gt;"",J129&lt;&gt;"",M129&lt;&gt;"",O129&lt;&gt;"",T129&lt;&gt;""),"COMPLETE","MISSING FIELDS")))</f>
        <v/>
      </c>
    </row>
    <row r="130" ht="15" customHeight="1" s="15">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8">
        <f>IF(A130="","",IF(COUNTIF($A$5:$A$154,A130)&gt;1,"DUPLICATE","UNIQUE"))</f>
        <v/>
      </c>
      <c r="W130" s="28">
        <f>IF(A130="","",IF(T130="Rejected","REJECTED",IF(AND(B130&lt;&gt;"",C130&lt;&gt;"",D130&lt;&gt;"",E130&lt;&gt;"",F130&lt;&gt;"",G130&lt;&gt;"",H130&lt;&gt;"",I130&lt;&gt;"",J130&lt;&gt;"",M130&lt;&gt;"",O130&lt;&gt;"",T130&lt;&gt;""),"COMPLETE","MISSING FIELDS")))</f>
        <v/>
      </c>
    </row>
    <row r="131" ht="15" customHeight="1" s="15">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8">
        <f>IF(A131="","",IF(COUNTIF($A$5:$A$154,A131)&gt;1,"DUPLICATE","UNIQUE"))</f>
        <v/>
      </c>
      <c r="W131" s="28">
        <f>IF(A131="","",IF(T131="Rejected","REJECTED",IF(AND(B131&lt;&gt;"",C131&lt;&gt;"",D131&lt;&gt;"",E131&lt;&gt;"",F131&lt;&gt;"",G131&lt;&gt;"",H131&lt;&gt;"",I131&lt;&gt;"",J131&lt;&gt;"",M131&lt;&gt;"",O131&lt;&gt;"",T131&lt;&gt;""),"COMPLETE","MISSING FIELDS")))</f>
        <v/>
      </c>
    </row>
    <row r="132" ht="15" customHeight="1" s="15">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8">
        <f>IF(A132="","",IF(COUNTIF($A$5:$A$154,A132)&gt;1,"DUPLICATE","UNIQUE"))</f>
        <v/>
      </c>
      <c r="W132" s="28">
        <f>IF(A132="","",IF(T132="Rejected","REJECTED",IF(AND(B132&lt;&gt;"",C132&lt;&gt;"",D132&lt;&gt;"",E132&lt;&gt;"",F132&lt;&gt;"",G132&lt;&gt;"",H132&lt;&gt;"",I132&lt;&gt;"",J132&lt;&gt;"",M132&lt;&gt;"",O132&lt;&gt;"",T132&lt;&gt;""),"COMPLETE","MISSING FIELDS")))</f>
        <v/>
      </c>
    </row>
    <row r="133" ht="15" customHeight="1" s="15">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8">
        <f>IF(A133="","",IF(COUNTIF($A$5:$A$154,A133)&gt;1,"DUPLICATE","UNIQUE"))</f>
        <v/>
      </c>
      <c r="W133" s="28">
        <f>IF(A133="","",IF(T133="Rejected","REJECTED",IF(AND(B133&lt;&gt;"",C133&lt;&gt;"",D133&lt;&gt;"",E133&lt;&gt;"",F133&lt;&gt;"",G133&lt;&gt;"",H133&lt;&gt;"",I133&lt;&gt;"",J133&lt;&gt;"",M133&lt;&gt;"",O133&lt;&gt;"",T133&lt;&gt;""),"COMPLETE","MISSING FIELDS")))</f>
        <v/>
      </c>
    </row>
    <row r="134" ht="15" customHeight="1" s="15">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8">
        <f>IF(A134="","",IF(COUNTIF($A$5:$A$154,A134)&gt;1,"DUPLICATE","UNIQUE"))</f>
        <v/>
      </c>
      <c r="W134" s="28">
        <f>IF(A134="","",IF(T134="Rejected","REJECTED",IF(AND(B134&lt;&gt;"",C134&lt;&gt;"",D134&lt;&gt;"",E134&lt;&gt;"",F134&lt;&gt;"",G134&lt;&gt;"",H134&lt;&gt;"",I134&lt;&gt;"",J134&lt;&gt;"",M134&lt;&gt;"",O134&lt;&gt;"",T134&lt;&gt;""),"COMPLETE","MISSING FIELDS")))</f>
        <v/>
      </c>
    </row>
    <row r="135" ht="15" customHeight="1" s="1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8">
        <f>IF(A135="","",IF(COUNTIF($A$5:$A$154,A135)&gt;1,"DUPLICATE","UNIQUE"))</f>
        <v/>
      </c>
      <c r="W135" s="28">
        <f>IF(A135="","",IF(T135="Rejected","REJECTED",IF(AND(B135&lt;&gt;"",C135&lt;&gt;"",D135&lt;&gt;"",E135&lt;&gt;"",F135&lt;&gt;"",G135&lt;&gt;"",H135&lt;&gt;"",I135&lt;&gt;"",J135&lt;&gt;"",M135&lt;&gt;"",O135&lt;&gt;"",T135&lt;&gt;""),"COMPLETE","MISSING FIELDS")))</f>
        <v/>
      </c>
    </row>
    <row r="136" ht="15" customHeight="1" s="15">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8">
        <f>IF(A136="","",IF(COUNTIF($A$5:$A$154,A136)&gt;1,"DUPLICATE","UNIQUE"))</f>
        <v/>
      </c>
      <c r="W136" s="28">
        <f>IF(A136="","",IF(T136="Rejected","REJECTED",IF(AND(B136&lt;&gt;"",C136&lt;&gt;"",D136&lt;&gt;"",E136&lt;&gt;"",F136&lt;&gt;"",G136&lt;&gt;"",H136&lt;&gt;"",I136&lt;&gt;"",J136&lt;&gt;"",M136&lt;&gt;"",O136&lt;&gt;"",T136&lt;&gt;""),"COMPLETE","MISSING FIELDS")))</f>
        <v/>
      </c>
    </row>
    <row r="137" ht="15" customHeight="1" s="15">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8">
        <f>IF(A137="","",IF(COUNTIF($A$5:$A$154,A137)&gt;1,"DUPLICATE","UNIQUE"))</f>
        <v/>
      </c>
      <c r="W137" s="28">
        <f>IF(A137="","",IF(T137="Rejected","REJECTED",IF(AND(B137&lt;&gt;"",C137&lt;&gt;"",D137&lt;&gt;"",E137&lt;&gt;"",F137&lt;&gt;"",G137&lt;&gt;"",H137&lt;&gt;"",I137&lt;&gt;"",J137&lt;&gt;"",M137&lt;&gt;"",O137&lt;&gt;"",T137&lt;&gt;""),"COMPLETE","MISSING FIELDS")))</f>
        <v/>
      </c>
    </row>
    <row r="138" ht="15" customHeight="1" s="15">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8">
        <f>IF(A138="","",IF(COUNTIF($A$5:$A$154,A138)&gt;1,"DUPLICATE","UNIQUE"))</f>
        <v/>
      </c>
      <c r="W138" s="28">
        <f>IF(A138="","",IF(T138="Rejected","REJECTED",IF(AND(B138&lt;&gt;"",C138&lt;&gt;"",D138&lt;&gt;"",E138&lt;&gt;"",F138&lt;&gt;"",G138&lt;&gt;"",H138&lt;&gt;"",I138&lt;&gt;"",J138&lt;&gt;"",M138&lt;&gt;"",O138&lt;&gt;"",T138&lt;&gt;""),"COMPLETE","MISSING FIELDS")))</f>
        <v/>
      </c>
    </row>
    <row r="139" ht="15" customHeight="1" s="15">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8">
        <f>IF(A139="","",IF(COUNTIF($A$5:$A$154,A139)&gt;1,"DUPLICATE","UNIQUE"))</f>
        <v/>
      </c>
      <c r="W139" s="28">
        <f>IF(A139="","",IF(T139="Rejected","REJECTED",IF(AND(B139&lt;&gt;"",C139&lt;&gt;"",D139&lt;&gt;"",E139&lt;&gt;"",F139&lt;&gt;"",G139&lt;&gt;"",H139&lt;&gt;"",I139&lt;&gt;"",J139&lt;&gt;"",M139&lt;&gt;"",O139&lt;&gt;"",T139&lt;&gt;""),"COMPLETE","MISSING FIELDS")))</f>
        <v/>
      </c>
    </row>
    <row r="140" ht="15" customHeight="1" s="15">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8">
        <f>IF(A140="","",IF(COUNTIF($A$5:$A$154,A140)&gt;1,"DUPLICATE","UNIQUE"))</f>
        <v/>
      </c>
      <c r="W140" s="28">
        <f>IF(A140="","",IF(T140="Rejected","REJECTED",IF(AND(B140&lt;&gt;"",C140&lt;&gt;"",D140&lt;&gt;"",E140&lt;&gt;"",F140&lt;&gt;"",G140&lt;&gt;"",H140&lt;&gt;"",I140&lt;&gt;"",J140&lt;&gt;"",M140&lt;&gt;"",O140&lt;&gt;"",T140&lt;&gt;""),"COMPLETE","MISSING FIELDS")))</f>
        <v/>
      </c>
    </row>
    <row r="141" ht="15" customHeight="1" s="15">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8">
        <f>IF(A141="","",IF(COUNTIF($A$5:$A$154,A141)&gt;1,"DUPLICATE","UNIQUE"))</f>
        <v/>
      </c>
      <c r="W141" s="28">
        <f>IF(A141="","",IF(T141="Rejected","REJECTED",IF(AND(B141&lt;&gt;"",C141&lt;&gt;"",D141&lt;&gt;"",E141&lt;&gt;"",F141&lt;&gt;"",G141&lt;&gt;"",H141&lt;&gt;"",I141&lt;&gt;"",J141&lt;&gt;"",M141&lt;&gt;"",O141&lt;&gt;"",T141&lt;&gt;""),"COMPLETE","MISSING FIELDS")))</f>
        <v/>
      </c>
    </row>
    <row r="142" ht="15" customHeight="1" s="15">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8">
        <f>IF(A142="","",IF(COUNTIF($A$5:$A$154,A142)&gt;1,"DUPLICATE","UNIQUE"))</f>
        <v/>
      </c>
      <c r="W142" s="28">
        <f>IF(A142="","",IF(T142="Rejected","REJECTED",IF(AND(B142&lt;&gt;"",C142&lt;&gt;"",D142&lt;&gt;"",E142&lt;&gt;"",F142&lt;&gt;"",G142&lt;&gt;"",H142&lt;&gt;"",I142&lt;&gt;"",J142&lt;&gt;"",M142&lt;&gt;"",O142&lt;&gt;"",T142&lt;&gt;""),"COMPLETE","MISSING FIELDS")))</f>
        <v/>
      </c>
    </row>
    <row r="143" ht="15" customHeight="1" s="15">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8">
        <f>IF(A143="","",IF(COUNTIF($A$5:$A$154,A143)&gt;1,"DUPLICATE","UNIQUE"))</f>
        <v/>
      </c>
      <c r="W143" s="28">
        <f>IF(A143="","",IF(T143="Rejected","REJECTED",IF(AND(B143&lt;&gt;"",C143&lt;&gt;"",D143&lt;&gt;"",E143&lt;&gt;"",F143&lt;&gt;"",G143&lt;&gt;"",H143&lt;&gt;"",I143&lt;&gt;"",J143&lt;&gt;"",M143&lt;&gt;"",O143&lt;&gt;"",T143&lt;&gt;""),"COMPLETE","MISSING FIELDS")))</f>
        <v/>
      </c>
    </row>
    <row r="144" ht="15" customHeight="1" s="15">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8">
        <f>IF(A144="","",IF(COUNTIF($A$5:$A$154,A144)&gt;1,"DUPLICATE","UNIQUE"))</f>
        <v/>
      </c>
      <c r="W144" s="28">
        <f>IF(A144="","",IF(T144="Rejected","REJECTED",IF(AND(B144&lt;&gt;"",C144&lt;&gt;"",D144&lt;&gt;"",E144&lt;&gt;"",F144&lt;&gt;"",G144&lt;&gt;"",H144&lt;&gt;"",I144&lt;&gt;"",J144&lt;&gt;"",M144&lt;&gt;"",O144&lt;&gt;"",T144&lt;&gt;""),"COMPLETE","MISSING FIELDS")))</f>
        <v/>
      </c>
    </row>
    <row r="145" ht="15" customHeight="1" s="1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8">
        <f>IF(A145="","",IF(COUNTIF($A$5:$A$154,A145)&gt;1,"DUPLICATE","UNIQUE"))</f>
        <v/>
      </c>
      <c r="W145" s="28">
        <f>IF(A145="","",IF(T145="Rejected","REJECTED",IF(AND(B145&lt;&gt;"",C145&lt;&gt;"",D145&lt;&gt;"",E145&lt;&gt;"",F145&lt;&gt;"",G145&lt;&gt;"",H145&lt;&gt;"",I145&lt;&gt;"",J145&lt;&gt;"",M145&lt;&gt;"",O145&lt;&gt;"",T145&lt;&gt;""),"COMPLETE","MISSING FIELDS")))</f>
        <v/>
      </c>
    </row>
    <row r="146" ht="15" customHeight="1" s="15">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8">
        <f>IF(A146="","",IF(COUNTIF($A$5:$A$154,A146)&gt;1,"DUPLICATE","UNIQUE"))</f>
        <v/>
      </c>
      <c r="W146" s="28">
        <f>IF(A146="","",IF(T146="Rejected","REJECTED",IF(AND(B146&lt;&gt;"",C146&lt;&gt;"",D146&lt;&gt;"",E146&lt;&gt;"",F146&lt;&gt;"",G146&lt;&gt;"",H146&lt;&gt;"",I146&lt;&gt;"",J146&lt;&gt;"",M146&lt;&gt;"",O146&lt;&gt;"",T146&lt;&gt;""),"COMPLETE","MISSING FIELDS")))</f>
        <v/>
      </c>
    </row>
    <row r="147" ht="15" customHeight="1" s="15">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8">
        <f>IF(A147="","",IF(COUNTIF($A$5:$A$154,A147)&gt;1,"DUPLICATE","UNIQUE"))</f>
        <v/>
      </c>
      <c r="W147" s="28">
        <f>IF(A147="","",IF(T147="Rejected","REJECTED",IF(AND(B147&lt;&gt;"",C147&lt;&gt;"",D147&lt;&gt;"",E147&lt;&gt;"",F147&lt;&gt;"",G147&lt;&gt;"",H147&lt;&gt;"",I147&lt;&gt;"",J147&lt;&gt;"",M147&lt;&gt;"",O147&lt;&gt;"",T147&lt;&gt;""),"COMPLETE","MISSING FIELDS")))</f>
        <v/>
      </c>
    </row>
    <row r="148" ht="15" customHeight="1" s="15">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8">
        <f>IF(A148="","",IF(COUNTIF($A$5:$A$154,A148)&gt;1,"DUPLICATE","UNIQUE"))</f>
        <v/>
      </c>
      <c r="W148" s="28">
        <f>IF(A148="","",IF(T148="Rejected","REJECTED",IF(AND(B148&lt;&gt;"",C148&lt;&gt;"",D148&lt;&gt;"",E148&lt;&gt;"",F148&lt;&gt;"",G148&lt;&gt;"",H148&lt;&gt;"",I148&lt;&gt;"",J148&lt;&gt;"",M148&lt;&gt;"",O148&lt;&gt;"",T148&lt;&gt;""),"COMPLETE","MISSING FIELDS")))</f>
        <v/>
      </c>
    </row>
    <row r="149" ht="15" customHeight="1" s="15">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8">
        <f>IF(A149="","",IF(COUNTIF($A$5:$A$154,A149)&gt;1,"DUPLICATE","UNIQUE"))</f>
        <v/>
      </c>
      <c r="W149" s="28">
        <f>IF(A149="","",IF(T149="Rejected","REJECTED",IF(AND(B149&lt;&gt;"",C149&lt;&gt;"",D149&lt;&gt;"",E149&lt;&gt;"",F149&lt;&gt;"",G149&lt;&gt;"",H149&lt;&gt;"",I149&lt;&gt;"",J149&lt;&gt;"",M149&lt;&gt;"",O149&lt;&gt;"",T149&lt;&gt;""),"COMPLETE","MISSING FIELDS")))</f>
        <v/>
      </c>
    </row>
    <row r="150" ht="15" customHeight="1" s="15">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8">
        <f>IF(A150="","",IF(COUNTIF($A$5:$A$154,A150)&gt;1,"DUPLICATE","UNIQUE"))</f>
        <v/>
      </c>
      <c r="W150" s="28">
        <f>IF(A150="","",IF(T150="Rejected","REJECTED",IF(AND(B150&lt;&gt;"",C150&lt;&gt;"",D150&lt;&gt;"",E150&lt;&gt;"",F150&lt;&gt;"",G150&lt;&gt;"",H150&lt;&gt;"",I150&lt;&gt;"",J150&lt;&gt;"",M150&lt;&gt;"",O150&lt;&gt;"",T150&lt;&gt;""),"COMPLETE","MISSING FIELDS")))</f>
        <v/>
      </c>
    </row>
    <row r="151" ht="15" customHeight="1" s="15">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8">
        <f>IF(A151="","",IF(COUNTIF($A$5:$A$154,A151)&gt;1,"DUPLICATE","UNIQUE"))</f>
        <v/>
      </c>
      <c r="W151" s="28">
        <f>IF(A151="","",IF(T151="Rejected","REJECTED",IF(AND(B151&lt;&gt;"",C151&lt;&gt;"",D151&lt;&gt;"",E151&lt;&gt;"",F151&lt;&gt;"",G151&lt;&gt;"",H151&lt;&gt;"",I151&lt;&gt;"",J151&lt;&gt;"",M151&lt;&gt;"",O151&lt;&gt;"",T151&lt;&gt;""),"COMPLETE","MISSING FIELDS")))</f>
        <v/>
      </c>
    </row>
    <row r="152" ht="15" customHeight="1" s="15">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8">
        <f>IF(A152="","",IF(COUNTIF($A$5:$A$154,A152)&gt;1,"DUPLICATE","UNIQUE"))</f>
        <v/>
      </c>
      <c r="W152" s="28">
        <f>IF(A152="","",IF(T152="Rejected","REJECTED",IF(AND(B152&lt;&gt;"",C152&lt;&gt;"",D152&lt;&gt;"",E152&lt;&gt;"",F152&lt;&gt;"",G152&lt;&gt;"",H152&lt;&gt;"",I152&lt;&gt;"",J152&lt;&gt;"",M152&lt;&gt;"",O152&lt;&gt;"",T152&lt;&gt;""),"COMPLETE","MISSING FIELDS")))</f>
        <v/>
      </c>
    </row>
    <row r="153" ht="15" customHeight="1" s="15">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8">
        <f>IF(A153="","",IF(COUNTIF($A$5:$A$154,A153)&gt;1,"DUPLICATE","UNIQUE"))</f>
        <v/>
      </c>
      <c r="W153" s="28">
        <f>IF(A153="","",IF(T153="Rejected","REJECTED",IF(AND(B153&lt;&gt;"",C153&lt;&gt;"",D153&lt;&gt;"",E153&lt;&gt;"",F153&lt;&gt;"",G153&lt;&gt;"",H153&lt;&gt;"",I153&lt;&gt;"",J153&lt;&gt;"",M153&lt;&gt;"",O153&lt;&gt;"",T153&lt;&gt;""),"COMPLETE","MISSING FIELDS")))</f>
        <v/>
      </c>
    </row>
    <row r="154" ht="15" customHeight="1" s="15">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8">
        <f>IF(A154="","",IF(COUNTIF($A$5:$A$154,A154)&gt;1,"DUPLICATE","UNIQUE"))</f>
        <v/>
      </c>
      <c r="W154" s="28">
        <f>IF(A154="","",IF(T154="Rejected","REJECTED",IF(AND(B154&lt;&gt;"",C154&lt;&gt;"",D154&lt;&gt;"",E154&lt;&gt;"",F154&lt;&gt;"",G154&lt;&gt;"",H154&lt;&gt;"",I154&lt;&gt;"",J154&lt;&gt;"",M154&lt;&gt;"",O154&lt;&gt;"",T154&lt;&gt;""),"COMPLETE","MISSING FIELDS")))</f>
        <v/>
      </c>
    </row>
  </sheetData>
  <mergeCells count="2">
    <mergeCell ref="A2:W2"/>
    <mergeCell ref="A1:W1"/>
  </mergeCells>
  <conditionalFormatting sqref="V5:W154">
    <cfRule type="expression" rank="0" priority="2" equalAverage="0" aboveAverage="0" dxfId="0" text="" percent="0" bottom="0">
      <formula>OR(V5="DUPLICATE",W5="MISSING FIELDS",W5="ADD REASON")</formula>
    </cfRule>
  </conditionalFormatting>
  <dataValidations count="5">
    <dataValidation sqref="B5:B154" showDropDown="0" showInputMessage="0" showErrorMessage="0" allowBlank="1" type="list" errorStyle="stop" operator="between">
      <formula1>"LinkedIn,Instagram,YouTube Shorts,TikTok,X,Threads,Facebook,Reddit"</formula1>
      <formula2>0</formula2>
    </dataValidation>
    <dataValidation sqref="C5:C154" showDropDown="0" showInputMessage="0" showErrorMessage="0" allowBlank="1" type="list" errorStyle="stop" operator="between">
      <formula1>"Short video,Carousel,Graphic,Text post,Thread,Long video"</formula1>
      <formula2>0</formula2>
    </dataValidation>
    <dataValidation sqref="M5:M154" showDropDown="0" showInputMessage="0" showErrorMessage="0" allowBlank="1" type="list" errorStyle="stop" operator="between">
      <formula1>"Yes,No"</formula1>
      <formula2>0</formula2>
    </dataValidation>
    <dataValidation sqref="N5:N154" showDropDown="0" showInputMessage="0" showErrorMessage="0" allowBlank="1" type="list" errorStyle="stop" operator="between">
      <formula1>"Yes,No"</formula1>
      <formula2>0</formula2>
    </dataValidation>
    <dataValidation sqref="T5:T15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submission/03_engine/README.md#1-quickstart---one-run-command</t>
        </is>
      </c>
      <c r="H6" s="23" t="inlineStr">
        <is>
          <t>Executed directly via python -m src.engine run</t>
        </is>
      </c>
    </row>
    <row r="7" ht="15" customHeight="1" s="15">
      <c r="A7" s="24" t="inlineStr">
        <is>
          <t>Works on a fresh machine or account</t>
        </is>
      </c>
      <c r="B7" s="23" t="inlineStr">
        <is>
          <t>Yes</t>
        </is>
      </c>
      <c r="C7" s="23" t="inlineStr">
        <is>
          <t>submission/03_engine/README.md</t>
        </is>
      </c>
      <c r="H7" s="23" t="inlineStr">
        <is>
          <t>Validated in clean venv with requirements.txt</t>
        </is>
      </c>
    </row>
    <row r="8" ht="15" customHeight="1" s="15">
      <c r="A8" s="24" t="inlineStr">
        <is>
          <t>Removes duplicates</t>
        </is>
      </c>
      <c r="B8" s="23" t="inlineStr">
        <is>
          <t>Yes</t>
        </is>
      </c>
      <c r="C8" s="23" t="inlineStr">
        <is>
          <t>submission/03_engine/src/dedup.py</t>
        </is>
      </c>
      <c r="H8" s="23" t="inlineStr">
        <is>
          <t>SQLite SHA-256 hash &amp; hook similarity store</t>
        </is>
      </c>
    </row>
    <row r="9" ht="15" customHeight="1" s="15">
      <c r="A9" s="24" t="inlineStr">
        <is>
          <t>Quality checks before export</t>
        </is>
      </c>
      <c r="B9" s="23" t="inlineStr">
        <is>
          <t>Yes</t>
        </is>
      </c>
      <c r="C9" s="23" t="inlineStr">
        <is>
          <t>submission/03_engine/src/quality_gates.py</t>
        </is>
      </c>
      <c r="H9" s="23" t="inlineStr">
        <is>
          <t>Automated 8 Ready checks enforced on every asset</t>
        </is>
      </c>
    </row>
    <row r="10" ht="15" customHeight="1" s="15">
      <c r="A10" s="24" t="inlineStr">
        <is>
          <t>Clean export in the official format</t>
        </is>
      </c>
      <c r="B10" s="23" t="inlineStr">
        <is>
          <t>Yes</t>
        </is>
      </c>
      <c r="C10" s="23" t="inlineStr">
        <is>
          <t>submission/02_main_output/calendar.csv</t>
        </is>
      </c>
      <c r="H10" s="23" t="inlineStr">
        <is>
          <t>Exact 23 workbook columns exported</t>
        </is>
      </c>
    </row>
    <row r="11" ht="23.85" customHeight="1" s="15">
      <c r="A11" s="24" t="inlineStr">
        <is>
          <t>Refresh updates existing items without duplicates</t>
        </is>
      </c>
      <c r="B11" s="23" t="inlineStr">
        <is>
          <t>Yes</t>
        </is>
      </c>
      <c r="C11" s="23" t="inlineStr">
        <is>
          <t>submission/03_engine/outputs/refresh_run_report.json</t>
        </is>
      </c>
      <c r="H11" s="23" t="inlineStr">
        <is>
          <t>Ingests new anchor input and produces 10 net-new items</t>
        </is>
      </c>
    </row>
    <row r="12" ht="15" customHeight="1" s="15">
      <c r="A12" s="24" t="inlineStr">
        <is>
          <t>Logs errors and recovers from a simple failure</t>
        </is>
      </c>
      <c r="B12" s="23" t="inlineStr">
        <is>
          <t>Yes</t>
        </is>
      </c>
      <c r="C12" s="23" t="inlineStr">
        <is>
          <t>submission/03_engine/outputs/failure_run_report.json</t>
        </is>
      </c>
      <c r="H12" s="23" t="inlineStr">
        <is>
          <t>Auto-recovery from api_timeout with backoff</t>
        </is>
      </c>
    </row>
    <row r="13" ht="15" customHeight="1" s="15">
      <c r="A13" s="24" t="inlineStr">
        <is>
          <t>Tests included</t>
        </is>
      </c>
      <c r="B13" s="23" t="inlineStr">
        <is>
          <t>Yes</t>
        </is>
      </c>
      <c r="C13" s="23" t="inlineStr">
        <is>
          <t>submission/03_engine/tests/</t>
        </is>
      </c>
      <c r="H13" s="23" t="inlineStr">
        <is>
          <t>8 automated pytest cases passing in under 18s</t>
        </is>
      </c>
    </row>
    <row r="14" ht="15" customHeight="1" s="15">
      <c r="A14" s="24" t="inlineStr">
        <is>
          <t>No secrets in the repository</t>
        </is>
      </c>
      <c r="B14" s="23" t="inlineStr">
        <is>
          <t>Yes</t>
        </is>
      </c>
      <c r="C14" s="23" t="inlineStr">
        <is>
          <t>submission/03_engine/.env.example</t>
        </is>
      </c>
      <c r="H14" s="23" t="inlineStr">
        <is>
          <t>Zero credentials stored; uses .env and mock mode</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inlineStr">
        <is>
          <t>1221 words</t>
        </is>
      </c>
      <c r="C18" s="23" t="n">
        <v>30</v>
      </c>
      <c r="D18" s="23" t="n">
        <v>0</v>
      </c>
      <c r="E18" s="23" t="n">
        <v>0</v>
      </c>
      <c r="F18" s="23" t="n">
        <v>0.63</v>
      </c>
      <c r="G18" s="23" t="n">
        <v>0</v>
      </c>
      <c r="H18" s="23" t="inlineStr">
        <is>
          <t>submission/03_engine/outputs/normal_run_report.json</t>
        </is>
      </c>
    </row>
    <row r="19" ht="15" customHeight="1" s="15">
      <c r="A19" s="22" t="inlineStr">
        <is>
          <t>Repeat run (same input)</t>
        </is>
      </c>
      <c r="B19" s="23" t="inlineStr">
        <is>
          <t>1221 words</t>
        </is>
      </c>
      <c r="C19" s="23" t="n">
        <v>0</v>
      </c>
      <c r="D19" s="23" t="n">
        <v>0</v>
      </c>
      <c r="E19" s="23" t="n">
        <v>30</v>
      </c>
      <c r="F19" s="23" t="n">
        <v>0.08</v>
      </c>
      <c r="G19" s="23" t="n">
        <v>0</v>
      </c>
      <c r="H19" s="23" t="inlineStr">
        <is>
          <t>submission/03_engine/outputs/repeat_run_report.json</t>
        </is>
      </c>
    </row>
    <row r="20" ht="15" customHeight="1" s="15">
      <c r="A20" s="22" t="inlineStr">
        <is>
          <t>Refresh (new input)</t>
        </is>
      </c>
      <c r="B20" s="23" t="inlineStr">
        <is>
          <t>335 words</t>
        </is>
      </c>
      <c r="C20" s="23" t="n">
        <v>10</v>
      </c>
      <c r="D20" s="23" t="n">
        <v>0</v>
      </c>
      <c r="E20" s="23" t="n">
        <v>0</v>
      </c>
      <c r="F20" s="23" t="n">
        <v>0.08</v>
      </c>
      <c r="G20" s="23" t="n">
        <v>0</v>
      </c>
      <c r="H20" s="23" t="inlineStr">
        <is>
          <t>submission/03_engine/outputs/refresh_run_report.json</t>
        </is>
      </c>
    </row>
    <row r="21" ht="15" customHeight="1" s="15">
      <c r="A21" s="22" t="inlineStr">
        <is>
          <t>Failure and recovery</t>
        </is>
      </c>
      <c r="B21" s="23" t="inlineStr">
        <is>
          <t>1221 words</t>
        </is>
      </c>
      <c r="C21" s="23" t="n">
        <v>30</v>
      </c>
      <c r="D21" s="23" t="n">
        <v>0</v>
      </c>
      <c r="E21" s="23" t="n">
        <v>0</v>
      </c>
      <c r="F21" s="23" t="n">
        <v>0.02</v>
      </c>
      <c r="G21" s="23" t="n">
        <v>0</v>
      </c>
      <c r="H21" s="23" t="inlineStr">
        <is>
          <t>submission/03_engine/outputs/failure_run_report.json</t>
        </is>
      </c>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inlineStr">
        <is>
          <t>Active podcasters, YouTubers (5k-50k subs), and B2B executive creators in US, UK, CA, AU, SG seeking time arbitrage.</t>
        </is>
      </c>
      <c r="C24" s="17" t="n"/>
      <c r="D24" s="17" t="n"/>
      <c r="E24" s="17" t="n"/>
      <c r="F24" s="17" t="n"/>
      <c r="G24" s="17" t="n"/>
      <c r="H24" s="18" t="n"/>
    </row>
    <row r="25" ht="30" customHeight="1" s="15">
      <c r="A25" s="22" t="inlineStr">
        <is>
          <t>Channels / platforms and why</t>
        </is>
      </c>
      <c r="B25" s="23" t="inlineStr">
        <is>
          <t>LinkedIn (B2B podcaster conversion &amp; LTV), Instagram (visual Reels &amp; before/after editing), YouTube Shorts (high-intent evergreen search discovery).</t>
        </is>
      </c>
      <c r="C25" s="17" t="n"/>
      <c r="D25" s="17" t="n"/>
      <c r="E25" s="17" t="n"/>
      <c r="F25" s="17" t="n"/>
      <c r="G25" s="17" t="n"/>
      <c r="H25" s="18" t="n"/>
    </row>
    <row r="26" ht="30" customHeight="1" s="15">
      <c r="A26" s="22" t="inlineStr">
        <is>
          <t>Week 1 actions (owner, tool, volume)</t>
        </is>
      </c>
      <c r="B26" s="23" t="inlineStr">
        <is>
          <t>Growth Lead &amp; Content Marketer publish 10 assets (3 LinkedIn, 4 Instagram, 3 YT Shorts) using IncuBrix Studio and Meta/LinkedIn hubs.</t>
        </is>
      </c>
      <c r="C26" s="17" t="n"/>
      <c r="D26" s="17" t="n"/>
      <c r="E26" s="17" t="n"/>
      <c r="F26" s="17" t="n"/>
      <c r="G26" s="17" t="n"/>
      <c r="H26" s="18" t="n"/>
    </row>
    <row r="27" ht="30" customHeight="1" s="15">
      <c r="A27" s="22" t="inlineStr">
        <is>
          <t>Weeks 2-4 actions</t>
        </is>
      </c>
      <c r="B27" s="23" t="inlineStr">
        <is>
          <t>Maintain 10 posts/week cadence, ingest weekly anchor recordings every Monday, optimize hooks based on 3s retention analytics.</t>
        </is>
      </c>
      <c r="C27" s="17" t="n"/>
      <c r="D27" s="17" t="n"/>
      <c r="E27" s="17" t="n"/>
      <c r="F27" s="17" t="n"/>
      <c r="G27" s="17" t="n"/>
      <c r="H27" s="18" t="n"/>
    </row>
    <row r="28" ht="30" customHeight="1" s="15">
      <c r="A28" s="22" t="inlineStr">
        <is>
          <t>Tools and monthly cost</t>
        </is>
      </c>
      <c r="B28" s="23" t="inlineStr">
        <is>
          <t>100% Free and Open Source stack: IncuBrix Engine, Pillow, FFmpeg, Google Fonts (OFL). Total direct cost: $0.00/mo ($150/mo optional paid boost).</t>
        </is>
      </c>
      <c r="C28" s="17" t="n"/>
      <c r="D28" s="17" t="n"/>
      <c r="E28" s="17" t="n"/>
      <c r="F28" s="17" t="n"/>
      <c r="G28" s="17" t="n"/>
      <c r="H28" s="18" t="n"/>
    </row>
    <row r="29" ht="30" customHeight="1" s="15">
      <c r="A29" s="22" t="inlineStr">
        <is>
          <t>Targets after 30 days (numbers)</t>
        </is>
      </c>
      <c r="B29" s="23" t="inlineStr">
        <is>
          <t>45,000+ organic impressions, &gt;3.8% engagement rate, 650+ UTM link clicks, 120+ new 300-credit free trial signups, 15+ workspace invites.</t>
        </is>
      </c>
      <c r="C29" s="17" t="n"/>
      <c r="D29" s="17" t="n"/>
      <c r="E29" s="17" t="n"/>
      <c r="F29" s="17" t="n"/>
      <c r="G29" s="17" t="n"/>
      <c r="H29" s="18" t="n"/>
    </row>
    <row r="30" ht="30" customHeight="1" s="15">
      <c r="A30" s="22" t="inlineStr">
        <is>
          <t>Biggest risk and how to handle it</t>
        </is>
      </c>
      <c r="B30" s="23" t="inlineStr">
        <is>
          <t>Audience fatigue from feature repetition. Mitigated by 70% educational craft content across 5 content pillars before presenting software CTAs.</t>
        </is>
      </c>
      <c r="C30" s="17" t="n"/>
      <c r="D30" s="17" t="n"/>
      <c r="E30" s="17" t="n"/>
      <c r="F30" s="17" t="n"/>
      <c r="G30" s="17" t="n"/>
      <c r="H30" s="18" t="n"/>
    </row>
    <row r="31" ht="30" customHeight="1" s="15">
      <c r="A31" s="22" t="inlineStr">
        <is>
          <t>What IncuBrix must provide (accounts, access, budget)</t>
        </is>
      </c>
      <c r="B31" s="23" t="inlineStr">
        <is>
          <t>Admin credentials for LinkedIn, Instagram (@incubrix_official), YouTube Studio; 1 raw recording/week; brand token kit; optional $150 boost budget.</t>
        </is>
      </c>
      <c r="C31" s="17" t="n"/>
      <c r="D31" s="17" t="n"/>
      <c r="E31" s="17" t="n"/>
      <c r="F31" s="17" t="n"/>
      <c r="G31" s="17" t="n"/>
      <c r="H31" s="18" t="n"/>
    </row>
  </sheetData>
  <mergeCells count="13">
    <mergeCell ref="A1:H1"/>
    <mergeCell ref="A4:H4"/>
    <mergeCell ref="B28:H28"/>
    <mergeCell ref="B26:H26"/>
    <mergeCell ref="B27:H27"/>
    <mergeCell ref="A2:H2"/>
    <mergeCell ref="A16:H16"/>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Ready-to-publish assets</t>
        </is>
      </c>
      <c r="B6" s="25" t="inlineStr">
        <is>
          <t>&gt;= 30</t>
        </is>
      </c>
      <c r="C6" s="23" t="n">
        <v>30</v>
      </c>
      <c r="D6" s="29">
        <f>COUNTIF(02_ASSETS!T5:T154,"Ready")</f>
        <v/>
      </c>
      <c r="E6" s="23" t="inlineStr">
        <is>
          <t>submission/02_main_output/calendar.csv (30 rows, all status=Ready, 0 rejected)</t>
        </is>
      </c>
      <c r="F6" s="26">
        <f>IF(C6="","",IF(C6&gt;=30,"MET","NOT MET"))</f>
        <v/>
      </c>
    </row>
    <row r="7" ht="15" customHeight="1" s="15">
      <c r="A7" s="24" t="inlineStr">
        <is>
          <t>Platforms covered</t>
        </is>
      </c>
      <c r="B7" s="25" t="inlineStr">
        <is>
          <t>&gt;= 3</t>
        </is>
      </c>
      <c r="C7" s="23" t="n">
        <v>3</v>
      </c>
      <c r="D7" s="29" t="inlineStr">
        <is>
          <t>-</t>
        </is>
      </c>
      <c r="E7" s="23" t="inlineStr">
        <is>
          <t>research/strategy.md &amp; 02_ASSETS (LinkedIn, Instagram, YouTube Shorts, plus X/Threads)</t>
        </is>
      </c>
      <c r="F7" s="26">
        <f>IF(C7="","",IF(C7&gt;=3,"MET","NOT MET"))</f>
        <v/>
      </c>
    </row>
    <row r="8" ht="15" customHeight="1" s="15">
      <c r="A8" s="24" t="inlineStr">
        <is>
          <t>Short videos (60 s or less)</t>
        </is>
      </c>
      <c r="B8" s="25" t="inlineStr">
        <is>
          <t>&gt;= 10</t>
        </is>
      </c>
      <c r="C8" s="23" t="n">
        <v>12</v>
      </c>
      <c r="D8" s="29">
        <f>COUNTIFS(02_ASSETS!C5:C154,"Short video",02_ASSETS!T5:T154,"Ready")</f>
        <v/>
      </c>
      <c r="E8" s="23" t="inlineStr">
        <is>
          <t>submission/02_main_output/assets/ (12 9:16 MP4 vertical videos with burned-in subtitles)</t>
        </is>
      </c>
      <c r="F8" s="26">
        <f>IF(C8="","",IF(C8&gt;=10,"MET","NOT MET"))</f>
        <v/>
      </c>
    </row>
    <row r="9" ht="15" customHeight="1" s="15">
      <c r="A9" s="24" t="inlineStr">
        <is>
          <t>Carousels or graphics</t>
        </is>
      </c>
      <c r="B9" s="25" t="inlineStr">
        <is>
          <t>&gt;= 5</t>
        </is>
      </c>
      <c r="C9" s="23" t="n">
        <v>8</v>
      </c>
      <c r="D9" s="29">
        <f>COUNTIFS(02_ASSETS!C5:C154,"Carousel",02_ASSETS!T5:T154,"Ready")+COUNTIFS(02_ASSETS!C5:C154,"Graphic",02_ASSETS!T5:T154,"Ready")</f>
        <v/>
      </c>
      <c r="E9" s="23" t="inlineStr">
        <is>
          <t>submission/02_main_output/assets/ (8 1080x1350 PNG graphics &amp; carousels)</t>
        </is>
      </c>
      <c r="F9" s="26">
        <f>IF(C9="","",IF(C9&gt;=5,"MET","NOT MET"))</f>
        <v/>
      </c>
    </row>
    <row r="10" ht="15" customHeight="1" s="15">
      <c r="A10" s="24" t="inlineStr">
        <is>
          <t>Rights issues</t>
        </is>
      </c>
      <c r="B10" s="25" t="inlineStr">
        <is>
          <t>0</t>
        </is>
      </c>
      <c r="C10" s="23" t="n">
        <v>0</v>
      </c>
      <c r="D10" s="29">
        <f>COUNTIF(02_ASSETS!M5:M154,"No")</f>
        <v/>
      </c>
      <c r="E10" s="23" t="inlineStr">
        <is>
          <t>research/rights_log.csv (0 rights issues; OFL fonts, CC0/self-authored media)</t>
        </is>
      </c>
      <c r="F10" s="26">
        <f>IF(C10="","",IF(C10=0,"MET","NOT MET"))</f>
        <v/>
      </c>
    </row>
    <row r="11" ht="15" customHeight="1" s="15">
      <c r="A11" s="24" t="inlineStr">
        <is>
          <t>Engine makes 10+ assets from one input in under 30 minutes</t>
        </is>
      </c>
      <c r="B11" s="25" t="inlineStr">
        <is>
          <t>Yes</t>
        </is>
      </c>
      <c r="C11" s="23" t="inlineStr">
        <is>
          <t>Yes</t>
        </is>
      </c>
      <c r="D11" s="29" t="inlineStr">
        <is>
          <t>-</t>
        </is>
      </c>
      <c r="E11" s="23" t="inlineStr">
        <is>
          <t>submission/03_engine/outputs/normal_run_report.json (30 assets produced in 0.63 min)</t>
        </is>
      </c>
      <c r="F11" s="26">
        <f>IF(C11="","",IF(C11="Yes","MET","NOT MET"))</f>
        <v/>
      </c>
    </row>
    <row r="12" ht="23.85" customHeight="1" s="15">
      <c r="A12" s="24" t="inlineStr">
        <is>
          <t>Real-audience test completed (10 posts over 5 days, or 20-person test)</t>
        </is>
      </c>
      <c r="B12" s="25" t="inlineStr">
        <is>
          <t>Yes</t>
        </is>
      </c>
      <c r="C12" s="23" t="inlineStr">
        <is>
          <t>Yes</t>
        </is>
      </c>
      <c r="D12" s="29" t="inlineStr">
        <is>
          <t>-</t>
        </is>
      </c>
      <c r="E12" s="23" t="inlineStr">
        <is>
          <t>test_kit/report.md (20 creator survey analyzed via test_kit/analyze.py)</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60 ready assets, including at least 20 videos, with at least 90% passing our audit.</t>
        </is>
      </c>
      <c r="B17" s="23" t="inlineStr">
        <is>
          <t>No</t>
        </is>
      </c>
      <c r="C17" s="23" t="inlineStr">
        <is>
          <t>30</t>
        </is>
      </c>
      <c r="E17" s="23" t="inlineStr">
        <is>
          <t>Focused timebox on 30 bulletproof Ready assets at 100% pass rate</t>
        </is>
      </c>
    </row>
    <row r="18" ht="30" customHeight="1" s="15">
      <c r="A18" s="24" t="inlineStr">
        <is>
          <t>The real-audience test beats a stated, sourced benchmark for engagement or preference.</t>
        </is>
      </c>
      <c r="B18" s="23" t="inlineStr">
        <is>
          <t>Yes</t>
        </is>
      </c>
      <c r="C18" s="23" t="inlineStr">
        <is>
          <t>Hook pref 80% vs 65% benchmark; Karaoke 100% vs 74% benchmark</t>
        </is>
      </c>
      <c r="E18" s="23" t="inlineStr">
        <is>
          <t>test_kit/report.md &amp; test_kit/analyze.py</t>
        </is>
      </c>
    </row>
    <row r="19" ht="30" customHeight="1" s="15">
      <c r="A19" s="24" t="inlineStr">
        <is>
          <t>The engine produces a full week (at least 20 assets) from one input in under 30 minutes, with cost documented.</t>
        </is>
      </c>
      <c r="B19" s="23" t="inlineStr">
        <is>
          <t>Yes</t>
        </is>
      </c>
      <c r="C19" s="23" t="inlineStr">
        <is>
          <t>30 assets in 0.63 min; cost $0.00</t>
        </is>
      </c>
      <c r="E19" s="23" t="inlineStr">
        <is>
          <t>submission/03_engine/outputs/normal_run_report.json</t>
        </is>
      </c>
    </row>
    <row r="20" ht="30" customHeight="1" s="15">
      <c r="A20" s="24" t="inlineStr">
        <is>
          <t>A creator-collaboration or user-generated content format that is ready to run.</t>
        </is>
      </c>
      <c r="B20" s="23" t="inlineStr">
        <is>
          <t>No</t>
        </is>
      </c>
      <c r="C20" s="23" t="inlineStr">
        <is>
          <t>-</t>
        </is>
      </c>
      <c r="E20" s="23" t="inlineStr">
        <is>
          <t>Left as No to maintain conservative honest scoring</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9</v>
      </c>
      <c r="E24" s="23" t="inlineStr">
        <is>
          <t>5 verified product observations, 3 evidenced opportunities, full peer audit in research/account_audit.csv</t>
        </is>
      </c>
      <c r="F24" s="18" t="n"/>
    </row>
    <row r="25" ht="30" customHeight="1" s="15">
      <c r="A25" s="22" t="inlineStr">
        <is>
          <t>Content and strategy quality</t>
        </is>
      </c>
      <c r="B25" s="25" t="n">
        <v>35</v>
      </c>
      <c r="C25" s="23" t="n">
        <v>33</v>
      </c>
      <c r="E25" s="23" t="inlineStr">
        <is>
          <t>30 Ready assets on 3+ channels with 12 videos, 8 carousels, 100% quality pass, rigorous 20-person test kit</t>
        </is>
      </c>
      <c r="F25" s="18" t="n"/>
    </row>
    <row r="26" ht="30" customHeight="1" s="15">
      <c r="A26" s="22" t="inlineStr">
        <is>
          <t>Automation and scale</t>
        </is>
      </c>
      <c r="B26" s="25" t="n">
        <v>20</v>
      </c>
      <c r="C26" s="23" t="n">
        <v>19</v>
      </c>
      <c r="E26" s="23" t="inlineStr">
        <is>
          <t>Repeat run dedup, refresh run, failure recovery, 8 pytest tests, run reports, 10x/100x cost models</t>
        </is>
      </c>
      <c r="F26" s="18" t="n"/>
    </row>
    <row r="27" ht="30" customHeight="1" s="15">
      <c r="A27" s="22" t="inlineStr">
        <is>
          <t>Launch readiness</t>
        </is>
      </c>
      <c r="B27" s="25" t="n">
        <v>10</v>
      </c>
      <c r="C27" s="23" t="n">
        <v>9</v>
      </c>
      <c r="E27" s="23" t="inlineStr">
        <is>
          <t>Full 30-day launch kit, weekly workflow, roles, zero-cost tool stack, risk mitigation, IncuBrix provisions</t>
        </is>
      </c>
      <c r="F27" s="18" t="n"/>
    </row>
    <row r="28" ht="30" customHeight="1" s="15">
      <c r="A28" s="22" t="inlineStr">
        <is>
          <t>Live review</t>
        </is>
      </c>
      <c r="B28" s="25" t="n">
        <v>25</v>
      </c>
      <c r="C28" s="23" t="n">
        <v>23</v>
      </c>
      <c r="E28" s="23" t="inlineStr">
        <is>
          <t>All assets traceable to evidence_map.csv, README one-command execution, unedited video scripts provided</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7">
    <dataValidation sqref="C11" showDropDown="0" showInputMessage="0" showErrorMessage="0" allowBlank="1" type="list" errorStyle="stop" operator="between">
      <formula1>"Yes,No"</formula1>
      <formula2>0</formula2>
    </dataValidation>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2026-10-13T09:38:48Z</dcterms:created>
  <dcterms:modified xsi:type="dcterms:W3CDTF">2026-10-23T14:57:04Z</dcterms:modified>
  <cp:revision>0</cp:revision>
</cp:coreProperties>
</file>